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imelines/timeline2.xml" ContentType="application/vnd.ms-excel.timelin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timelines/timeline3.xml" ContentType="application/vnd.ms-excel.timelin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ata Analysis\Practice Files\"/>
    </mc:Choice>
  </mc:AlternateContent>
  <xr:revisionPtr revIDLastSave="0" documentId="13_ncr:1_{6DF2F260-E455-47F6-87AD-D4469121F953}" xr6:coauthVersionLast="47" xr6:coauthVersionMax="47" xr10:uidLastSave="{00000000-0000-0000-0000-000000000000}"/>
  <bookViews>
    <workbookView xWindow="-120" yWindow="-120" windowWidth="20730" windowHeight="11760" firstSheet="1" activeTab="5" xr2:uid="{00000000-000D-0000-FFFF-FFFF00000000}"/>
  </bookViews>
  <sheets>
    <sheet name="Sheet1" sheetId="1" r:id="rId1"/>
    <sheet name="Questions" sheetId="3" r:id="rId2"/>
    <sheet name="Dashboard" sheetId="6" r:id="rId3"/>
    <sheet name="Dashboard 2" sheetId="7" r:id="rId4"/>
    <sheet name="Dashboard 3" sheetId="8" r:id="rId5"/>
    <sheet name="Insights" sheetId="9" r:id="rId6"/>
  </sheets>
  <definedNames>
    <definedName name="_xlcn.WorksheetConnection_ProductSalesRegion.xlsxSales1" hidden="1">Sales[]</definedName>
    <definedName name="Timeline_Date">#N/A</definedName>
  </definedNames>
  <calcPr calcId="191029"/>
  <pivotCaches>
    <pivotCache cacheId="4" r:id="rId7"/>
    <pivotCache cacheId="6" r:id="rId8"/>
    <pivotCache cacheId="7" r:id="rId9"/>
    <pivotCache cacheId="12" r:id="rId10"/>
    <pivotCache cacheId="18" r:id="rId11"/>
    <pivotCache cacheId="36" r:id="rId12"/>
    <pivotCache cacheId="894" r:id="rId13"/>
    <pivotCache cacheId="897" r:id="rId14"/>
    <pivotCache cacheId="900" r:id="rId15"/>
    <pivotCache cacheId="903" r:id="rId16"/>
    <pivotCache cacheId="906" r:id="rId17"/>
    <pivotCache cacheId="909" r:id="rId18"/>
    <pivotCache cacheId="912" r:id="rId19"/>
    <pivotCache cacheId="915" r:id="rId2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51" r:id="rId21"/>
      </x15:timelineCachePivotCaches>
    </ext>
    <ext xmlns:x15="http://schemas.microsoft.com/office/spreadsheetml/2010/11/main" uri="{D0CA8CA8-9F24-4464-BF8E-62219DCF47F9}">
      <x15:timelineCacheRefs>
        <x15:timelineCacheRef r:id="rId22"/>
      </x15:timelineCacheRefs>
    </ext>
    <ext xmlns:x15="http://schemas.microsoft.com/office/spreadsheetml/2010/11/main" uri="{FCE2AD5D-F65C-4FA6-A056-5C36A1767C68}">
      <x15:dataModel>
        <x15:modelTables>
          <x15:modelTable id="Sales" name="Sales" connection="WorksheetConnection_Product-Sales-Region.xlsx!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2" i="1"/>
  <c r="W2" i="1" s="1"/>
  <c r="L48" i="3"/>
  <c r="K48" i="3"/>
  <c r="J48" i="3"/>
  <c r="I48" i="3"/>
  <c r="H48" i="3"/>
  <c r="G48" i="3"/>
  <c r="F48" i="3"/>
  <c r="J49" i="3" l="1"/>
  <c r="L4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C39448-E6E3-4787-8CA5-3817002E834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77DA607-4474-48E6-8882-88E47CA24633}" name="WorksheetConnection_Product-Sales-Region.xlsx!Sales" type="102" refreshedVersion="8" minRefreshableVersion="5">
    <extLst>
      <ext xmlns:x15="http://schemas.microsoft.com/office/spreadsheetml/2010/11/main" uri="{DE250136-89BD-433C-8126-D09CA5730AF9}">
        <x15:connection id="Sales" autoDelete="1">
          <x15:rangePr sourceName="_xlcn.WorksheetConnection_ProductSalesRegion.xlsxSales1"/>
        </x15:connection>
      </ext>
    </extLst>
  </connection>
</connections>
</file>

<file path=xl/sharedStrings.xml><?xml version="1.0" encoding="utf-8"?>
<sst xmlns="http://schemas.openxmlformats.org/spreadsheetml/2006/main" count="15159" uniqueCount="2950">
  <si>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</si>
  <si>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</si>
  <si>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</si>
  <si>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</si>
  <si>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</si>
  <si>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</si>
  <si>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</si>
  <si>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</si>
  <si>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</si>
  <si>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</si>
  <si>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</si>
  <si>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</si>
  <si>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</si>
  <si>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</si>
  <si>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</si>
  <si>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</si>
  <si>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</si>
  <si>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</si>
  <si>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</si>
  <si>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</si>
  <si>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</si>
  <si>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</si>
  <si>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</si>
  <si>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</si>
  <si>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</si>
  <si>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</si>
  <si>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</si>
  <si>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</si>
  <si>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</si>
  <si>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</si>
  <si>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</si>
  <si>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</si>
  <si>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</si>
  <si>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</si>
  <si>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</si>
  <si>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</si>
  <si>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</si>
  <si>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</si>
  <si>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</si>
  <si>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</si>
  <si>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</si>
  <si>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</si>
  <si>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</si>
  <si>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</si>
  <si>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</si>
  <si>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</si>
  <si>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</si>
  <si>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</si>
  <si>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</si>
  <si>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</si>
  <si>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</si>
  <si>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</si>
  <si>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</si>
  <si>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</si>
  <si>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</si>
  <si>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</si>
  <si>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</si>
  <si>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</si>
  <si>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</si>
  <si>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</si>
  <si>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</si>
  <si>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</si>
  <si>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</si>
  <si>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</si>
  <si>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</si>
  <si>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</si>
  <si>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</si>
  <si>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</si>
  <si>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</si>
  <si>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</si>
  <si>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</si>
  <si>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</si>
  <si>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</si>
  <si>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</si>
  <si>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</si>
  <si>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</si>
  <si>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</si>
  <si>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</si>
  <si>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</si>
  <si>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</si>
  <si>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</si>
  <si>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</si>
  <si>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</si>
  <si>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</si>
  <si>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</si>
  <si>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</si>
  <si>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</si>
  <si>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</si>
  <si>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</si>
  <si>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</si>
  <si>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</si>
  <si>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</si>
  <si>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</si>
  <si>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</si>
  <si>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</si>
  <si>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</si>
  <si>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</si>
  <si>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</si>
  <si>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</si>
  <si>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</si>
  <si>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</si>
  <si>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</si>
  <si>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</si>
  <si>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</si>
  <si>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</si>
  <si>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</si>
  <si>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</si>
  <si>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</si>
  <si>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</si>
  <si>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</si>
  <si>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</si>
  <si>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</si>
  <si>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</si>
  <si>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</si>
  <si>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</si>
  <si>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</si>
  <si>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</si>
  <si>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</si>
  <si>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</si>
  <si>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</si>
  <si>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</si>
  <si>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</si>
  <si>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</si>
  <si>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</si>
  <si>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</si>
  <si>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</si>
  <si>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</si>
  <si>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</si>
  <si>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</si>
  <si>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</si>
  <si>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</si>
  <si>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</si>
  <si>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</si>
  <si>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</si>
  <si>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</si>
  <si>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</si>
  <si>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</si>
  <si>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</si>
  <si>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</si>
  <si>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</si>
  <si>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</si>
  <si>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</si>
  <si>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</si>
  <si>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</si>
  <si>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</si>
  <si>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</si>
  <si>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</si>
  <si>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</si>
  <si>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</si>
  <si>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</si>
  <si>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</si>
  <si>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</si>
  <si>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</si>
  <si>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</si>
  <si>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</si>
  <si>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</si>
  <si>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</si>
  <si>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</si>
  <si>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</si>
  <si>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</si>
  <si>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</si>
  <si>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</si>
  <si>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</si>
  <si>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</si>
  <si>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</si>
  <si>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</si>
  <si>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</si>
  <si>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</si>
  <si>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</si>
  <si>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</si>
  <si>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</si>
  <si>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</si>
  <si>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</si>
  <si>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</si>
  <si>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</si>
  <si>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</si>
  <si>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</si>
  <si>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</si>
  <si>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</si>
  <si>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</si>
  <si>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</si>
  <si>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</si>
  <si>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</si>
  <si>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</si>
  <si>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</si>
  <si>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</si>
  <si>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</si>
  <si>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</si>
  <si>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</si>
  <si>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</si>
  <si>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</si>
  <si>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</si>
  <si>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</si>
  <si>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</si>
  <si>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</si>
  <si>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</si>
  <si>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</si>
  <si>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</si>
  <si>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</si>
  <si>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</si>
  <si>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</si>
  <si>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</si>
  <si>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</si>
  <si>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</si>
  <si>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</si>
  <si>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</si>
  <si>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</si>
  <si>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</si>
  <si>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</si>
  <si>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</si>
  <si>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</si>
  <si>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</si>
  <si>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</si>
  <si>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</si>
  <si>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</si>
  <si>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</si>
  <si>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</si>
  <si>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</si>
  <si>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</si>
  <si>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</si>
  <si>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</si>
  <si>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</si>
  <si>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</si>
  <si>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</si>
  <si>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</si>
  <si>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</si>
  <si>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</si>
  <si>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</si>
  <si>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</si>
  <si>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</si>
  <si>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</si>
  <si>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</si>
  <si>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</si>
  <si>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</si>
  <si>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</si>
  <si>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</si>
  <si>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</si>
  <si>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</si>
  <si>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</si>
  <si>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</si>
  <si>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</si>
  <si>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</si>
  <si>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</si>
  <si>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</si>
  <si>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</si>
  <si>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</si>
  <si>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</si>
  <si>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</si>
  <si>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</si>
  <si>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</si>
  <si>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</si>
  <si>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</si>
  <si>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</si>
  <si>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</si>
  <si>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</si>
  <si>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</si>
  <si>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</si>
  <si>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</si>
  <si>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</si>
  <si>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</si>
  <si>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</si>
  <si>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</si>
  <si>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</si>
  <si>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</si>
  <si>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</si>
  <si>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</si>
  <si>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</si>
  <si>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</si>
  <si>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</si>
  <si>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</si>
  <si>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</si>
  <si>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</si>
  <si>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</si>
  <si>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</si>
  <si>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</si>
  <si>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</si>
  <si>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</si>
  <si>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</si>
  <si>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</si>
  <si>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</si>
  <si>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</si>
  <si>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</si>
  <si>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</si>
  <si>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</si>
  <si>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</si>
  <si>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</si>
  <si>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</si>
  <si>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</si>
  <si>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</si>
  <si>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</si>
  <si>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</si>
  <si>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</si>
  <si>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</si>
  <si>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</si>
  <si>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</si>
  <si>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</si>
  <si>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</si>
  <si>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</si>
  <si>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</si>
  <si>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</si>
  <si>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</si>
  <si>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</si>
  <si>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</si>
  <si>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</si>
  <si>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</si>
  <si>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</si>
  <si>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</si>
  <si>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</si>
  <si>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</si>
  <si>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</si>
  <si>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</si>
  <si>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</si>
  <si>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</si>
  <si>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</si>
  <si>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</si>
  <si>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</si>
  <si>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</si>
  <si>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</si>
  <si>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</si>
  <si>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</si>
  <si>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</si>
  <si>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</si>
  <si>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</si>
  <si>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</si>
  <si>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</si>
  <si>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</si>
  <si>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</si>
  <si>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</si>
  <si>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</si>
  <si>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</si>
  <si>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</si>
  <si>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</si>
  <si>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</si>
  <si>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</si>
  <si>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</si>
  <si>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</si>
  <si>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</si>
  <si>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</si>
  <si>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</si>
  <si>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</si>
  <si>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</si>
  <si>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</si>
  <si>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</si>
  <si>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</si>
  <si>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</si>
  <si>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</si>
  <si>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</si>
  <si>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</si>
  <si>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</si>
  <si>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</si>
  <si>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</si>
  <si>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</si>
  <si>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</si>
  <si>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</si>
  <si>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</si>
  <si>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</si>
  <si>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</si>
  <si>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</si>
  <si>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</si>
  <si>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</si>
  <si>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</si>
  <si>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</si>
  <si>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</si>
  <si>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</si>
  <si>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</si>
  <si>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</si>
  <si>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</si>
  <si>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</si>
  <si>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</si>
  <si>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</si>
  <si>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</si>
  <si>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</si>
  <si>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</si>
  <si>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</si>
  <si>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</si>
  <si>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</si>
  <si>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</si>
  <si>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</si>
  <si>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</si>
  <si>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</si>
  <si>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</si>
  <si>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</si>
  <si>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</si>
  <si>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</si>
  <si>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</si>
  <si>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</si>
  <si>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</si>
  <si>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</si>
  <si>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</si>
  <si>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</si>
  <si>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</si>
  <si>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</si>
  <si>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</si>
  <si>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</si>
  <si>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</si>
  <si>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</si>
  <si>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</si>
  <si>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</si>
  <si>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</si>
  <si>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</si>
  <si>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</si>
  <si>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</si>
  <si>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</si>
  <si>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</si>
  <si>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</si>
  <si>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</si>
  <si>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</si>
  <si>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</si>
  <si>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</si>
  <si>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</si>
  <si>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</si>
  <si>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</si>
  <si>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</si>
  <si>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</si>
  <si>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</si>
  <si>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</si>
  <si>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</si>
  <si>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</si>
  <si>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</si>
  <si>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</si>
  <si>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</si>
  <si>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</si>
  <si>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</si>
  <si>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</si>
  <si>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</si>
  <si>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</si>
  <si>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</si>
  <si>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</si>
  <si>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</si>
  <si>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</si>
  <si>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</si>
  <si>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</si>
  <si>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</si>
  <si>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</si>
  <si>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</si>
  <si>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</si>
  <si>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</si>
  <si>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</si>
  <si>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</si>
  <si>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</si>
  <si>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</si>
  <si>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</si>
  <si>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</si>
  <si>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</si>
  <si>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</si>
  <si>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</si>
  <si>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</si>
  <si>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</si>
  <si>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</si>
  <si>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</si>
  <si>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</si>
  <si>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</si>
  <si>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</si>
  <si>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</si>
  <si>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</si>
  <si>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</si>
  <si>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</si>
  <si>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</si>
  <si>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</si>
  <si>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</si>
  <si>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</si>
  <si>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</si>
  <si>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</si>
  <si>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</si>
  <si>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</si>
  <si>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</si>
  <si>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</si>
  <si>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</si>
  <si>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</si>
  <si>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</si>
  <si>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</si>
  <si>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</si>
  <si>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</si>
  <si>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</si>
  <si>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</si>
  <si>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</si>
  <si>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</si>
  <si>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</si>
  <si>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</si>
  <si>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</si>
  <si>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</si>
  <si>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</si>
  <si>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</si>
  <si>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</si>
  <si>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</si>
  <si>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</si>
  <si>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</si>
  <si>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</si>
  <si>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</si>
  <si>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</si>
  <si>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</si>
  <si>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</si>
  <si>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</si>
  <si>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</si>
  <si>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</si>
  <si>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</si>
  <si>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</si>
  <si>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</si>
  <si>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</si>
  <si>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</si>
  <si>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</si>
  <si>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</si>
  <si>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</si>
  <si>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</si>
  <si>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</si>
  <si>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</si>
  <si>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</si>
  <si>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</si>
  <si>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</si>
  <si>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</si>
  <si>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</si>
  <si>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</si>
  <si>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</si>
  <si>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</si>
  <si>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</si>
  <si>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</si>
  <si>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</si>
  <si>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</si>
  <si>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</si>
  <si>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</si>
  <si>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</si>
  <si>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</si>
  <si>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</si>
  <si>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</si>
  <si>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</si>
  <si>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</si>
  <si>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</si>
  <si>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</si>
  <si>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</si>
  <si>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</si>
  <si>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</si>
  <si>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</si>
  <si>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</si>
  <si>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</si>
  <si>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</si>
  <si>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</si>
  <si>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</si>
  <si>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</si>
  <si>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</si>
  <si>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</si>
  <si>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</si>
  <si>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</si>
  <si>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</si>
  <si>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</si>
  <si>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</si>
  <si>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</si>
  <si>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</si>
  <si>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</si>
  <si>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</si>
  <si>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</si>
  <si>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</si>
  <si>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</si>
  <si>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</si>
  <si>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</si>
  <si>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</si>
  <si>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</si>
  <si>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</si>
  <si>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</si>
  <si>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</si>
  <si>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</si>
  <si>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</si>
  <si>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</si>
  <si>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</si>
  <si>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</si>
  <si>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</si>
  <si>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</si>
  <si>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</si>
  <si>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</si>
  <si>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</si>
  <si>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</si>
  <si>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</si>
  <si>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</si>
  <si>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</si>
  <si>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</si>
  <si>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</si>
  <si>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</si>
  <si>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</si>
  <si>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</si>
  <si>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</si>
  <si>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</si>
  <si>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</si>
  <si>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</si>
  <si>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</si>
  <si>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</si>
  <si>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</si>
  <si>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</si>
  <si>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</si>
  <si>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</si>
  <si>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</si>
  <si>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</si>
  <si>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</si>
  <si>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</si>
  <si>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</si>
  <si>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</si>
  <si>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</si>
  <si>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</si>
  <si>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</si>
  <si>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</si>
  <si>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</si>
  <si>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</si>
  <si>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</si>
  <si>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</si>
  <si>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</si>
  <si>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</si>
  <si>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</si>
  <si>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</si>
  <si>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</si>
  <si>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</si>
  <si>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</si>
  <si>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</si>
  <si>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</si>
  <si>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</si>
  <si>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</si>
  <si>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</si>
  <si>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</si>
  <si>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</si>
  <si>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</si>
  <si>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</si>
  <si>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</si>
  <si>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</si>
  <si>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</si>
  <si>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</si>
  <si>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</si>
  <si>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</si>
  <si>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</si>
  <si>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</si>
  <si>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</si>
  <si>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</si>
  <si>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</si>
  <si>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</si>
  <si>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</si>
  <si>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</si>
  <si>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</si>
  <si>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</si>
  <si>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</si>
  <si>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</si>
  <si>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</si>
  <si>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</si>
  <si>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</si>
  <si>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</si>
  <si>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</si>
  <si>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</si>
  <si>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</si>
  <si>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</si>
  <si>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</si>
  <si>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</si>
  <si>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</si>
  <si>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</si>
  <si>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</si>
  <si>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</si>
  <si>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</si>
  <si>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</si>
  <si>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</si>
  <si>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</si>
  <si>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</si>
  <si>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</si>
  <si>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</si>
  <si>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</si>
  <si>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</si>
  <si>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</si>
  <si>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</si>
  <si>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</si>
  <si>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</si>
  <si>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</si>
  <si>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</si>
  <si>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</si>
  <si>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</si>
  <si>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</si>
  <si>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</si>
  <si>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</si>
  <si>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</si>
  <si>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</si>
  <si>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</si>
  <si>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</si>
  <si>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</si>
  <si>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</si>
  <si>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</si>
  <si>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</si>
  <si>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</si>
  <si>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</si>
  <si>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</si>
  <si>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</si>
  <si>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</si>
  <si>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</si>
  <si>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</si>
  <si>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</si>
  <si>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</si>
  <si>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</si>
  <si>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</si>
  <si>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</si>
  <si>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</si>
  <si>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</si>
  <si>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</si>
  <si>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</si>
  <si>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</si>
  <si>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</si>
  <si>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</si>
  <si>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</si>
  <si>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</si>
  <si>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</si>
  <si>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</si>
  <si>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</si>
  <si>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</si>
  <si>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</si>
  <si>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</si>
  <si>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</si>
  <si>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</si>
  <si>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</si>
  <si>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</si>
  <si>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</si>
  <si>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</si>
  <si>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</si>
  <si>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</si>
  <si>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</si>
  <si>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</si>
  <si>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</si>
  <si>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</si>
  <si>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</si>
  <si>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</si>
  <si>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</si>
  <si>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</si>
  <si>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</si>
  <si>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</si>
  <si>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</si>
  <si>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</si>
  <si>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</si>
  <si>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</si>
  <si>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</si>
  <si>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</si>
  <si>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</si>
  <si>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</si>
  <si>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</si>
  <si>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</si>
  <si>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</si>
  <si>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</si>
  <si>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</si>
  <si>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</si>
  <si>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</si>
  <si>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</si>
  <si>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</si>
  <si>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</si>
  <si>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</si>
  <si>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</si>
  <si>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</si>
  <si>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</si>
  <si>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</si>
  <si>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</si>
  <si>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</si>
  <si>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</si>
  <si>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</si>
  <si>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</si>
  <si>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</si>
  <si>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</si>
  <si>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</si>
  <si>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</si>
  <si>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</si>
  <si>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</si>
  <si>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</si>
  <si>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</si>
  <si>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</si>
  <si>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</si>
  <si>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</si>
  <si>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</si>
  <si>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</si>
  <si>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</si>
  <si>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</si>
  <si>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</si>
  <si>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</si>
  <si>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</si>
  <si>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</si>
  <si>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</si>
  <si>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</si>
  <si>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</si>
  <si>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</si>
  <si>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</si>
  <si>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</si>
  <si>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</si>
  <si>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</si>
  <si>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</si>
  <si>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</si>
  <si>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</si>
  <si>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</si>
  <si>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</si>
  <si>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</si>
  <si>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</si>
  <si>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</si>
  <si>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</si>
  <si>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</si>
  <si>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</si>
  <si>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</si>
  <si>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</si>
  <si>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</si>
  <si>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</si>
  <si>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</si>
  <si>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</si>
  <si>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</si>
  <si>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</si>
  <si>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</si>
  <si>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</si>
  <si>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</si>
  <si>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</si>
  <si>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</si>
  <si>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</si>
  <si>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</si>
  <si>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</si>
  <si>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</si>
  <si>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</si>
  <si>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</si>
  <si>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</si>
  <si>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</si>
  <si>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</si>
  <si>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</si>
  <si>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</si>
  <si>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</si>
  <si>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</si>
  <si>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</si>
  <si>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</si>
  <si>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</si>
  <si>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</si>
  <si>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</si>
  <si>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</si>
  <si>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</si>
  <si>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</si>
  <si>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</si>
  <si>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</si>
  <si>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</si>
  <si>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</si>
  <si>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</si>
  <si>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</si>
  <si>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</si>
  <si>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</si>
  <si>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</si>
  <si>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</si>
  <si>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</si>
  <si>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</si>
  <si>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</si>
  <si>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</si>
  <si>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</si>
  <si>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</si>
  <si>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</si>
  <si>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</si>
  <si>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</si>
  <si>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</si>
  <si>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</si>
  <si>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</si>
  <si>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</si>
  <si>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</si>
  <si>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</si>
  <si>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</si>
  <si>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</si>
  <si>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</si>
  <si>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</si>
  <si>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</si>
  <si>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</si>
  <si>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</si>
  <si>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</si>
  <si>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</si>
  <si>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</si>
  <si>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</si>
  <si>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</si>
  <si>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</si>
  <si>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</si>
  <si>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</si>
  <si>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</si>
  <si>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</si>
  <si>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</si>
  <si>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</si>
  <si>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</si>
  <si>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</si>
  <si>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</si>
  <si>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</si>
  <si>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</si>
  <si>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</si>
  <si>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</si>
  <si>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</si>
  <si>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</si>
  <si>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</si>
  <si>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</si>
  <si>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</si>
  <si>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</si>
  <si>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</si>
  <si>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</si>
  <si>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</si>
  <si>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</si>
  <si>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</si>
  <si>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</si>
  <si>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</si>
  <si>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</si>
  <si>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</si>
  <si>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</si>
  <si>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</si>
  <si>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</si>
  <si>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</si>
  <si>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</si>
  <si>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</si>
  <si>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</si>
  <si>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</si>
  <si>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</si>
  <si>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</si>
  <si>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</si>
  <si>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</si>
  <si>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</si>
  <si>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</si>
  <si>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</si>
  <si>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</si>
  <si>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</si>
  <si>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</si>
  <si>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</si>
  <si>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</si>
  <si>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</si>
  <si>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</si>
  <si>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</si>
  <si>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</si>
  <si>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</si>
  <si>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</si>
  <si>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</si>
  <si>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</si>
  <si>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</si>
  <si>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</si>
  <si>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</si>
  <si>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</si>
  <si>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</si>
  <si>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</si>
  <si>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</si>
  <si>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</si>
  <si>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</si>
  <si>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</si>
  <si>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</si>
  <si>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</si>
  <si>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</si>
  <si>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</si>
  <si>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</si>
  <si>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</si>
  <si>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</si>
  <si>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</si>
  <si>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</si>
  <si>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</si>
  <si>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</si>
  <si>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</si>
  <si>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</si>
  <si>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</si>
  <si>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</si>
  <si>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</si>
  <si>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</si>
  <si>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</si>
  <si>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</si>
  <si>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</si>
  <si>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</si>
  <si>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</si>
  <si>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</si>
  <si>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</si>
  <si>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</si>
  <si>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</si>
  <si>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</si>
  <si>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</si>
  <si>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</si>
  <si>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</si>
  <si>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</si>
  <si>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</si>
  <si>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</si>
  <si>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</si>
  <si>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</si>
  <si>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</si>
  <si>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</si>
  <si>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</si>
  <si>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</si>
  <si>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</si>
  <si>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</si>
  <si>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</si>
  <si>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</si>
  <si>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</si>
  <si>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</si>
  <si>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</si>
  <si>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</si>
  <si>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</si>
  <si>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</si>
  <si>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</si>
  <si>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</si>
  <si>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</si>
  <si>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</si>
  <si>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</si>
  <si>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</si>
  <si>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</si>
  <si>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</si>
  <si>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</si>
  <si>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</si>
  <si>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</si>
  <si>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</si>
  <si>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</si>
  <si>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</si>
  <si>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</si>
  <si>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</si>
  <si>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</si>
  <si>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</si>
  <si>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</si>
  <si>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</si>
  <si>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</si>
  <si>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</si>
  <si>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</si>
  <si>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</si>
  <si>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</si>
  <si>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</si>
  <si>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</si>
  <si>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</si>
  <si>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</si>
  <si>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</si>
  <si>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</si>
  <si>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</si>
  <si>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</si>
  <si>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</si>
  <si>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</si>
  <si>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</si>
  <si>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</si>
  <si>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</si>
  <si>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</si>
  <si>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</si>
  <si>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</si>
  <si>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</si>
  <si>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</si>
  <si>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</si>
  <si>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</si>
  <si>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</si>
  <si>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</si>
  <si>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</si>
  <si>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</si>
  <si>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</si>
  <si>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</si>
  <si>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</si>
  <si>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</si>
  <si>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</si>
  <si>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</si>
  <si>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</si>
  <si>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</si>
  <si>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</si>
  <si>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</si>
  <si>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</si>
  <si>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</si>
  <si>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</si>
  <si>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</si>
  <si>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</si>
  <si>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</si>
  <si>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</si>
  <si>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</si>
  <si>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</si>
  <si>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</si>
  <si>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</si>
  <si>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</si>
  <si>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</si>
  <si>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</si>
  <si>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</si>
  <si>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</si>
  <si>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</si>
  <si>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</si>
  <si>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</si>
  <si>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</si>
  <si>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</si>
  <si>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</si>
  <si>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</si>
  <si>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</si>
  <si>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</si>
  <si>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</si>
  <si>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</si>
  <si>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</si>
  <si>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</si>
  <si>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</si>
  <si>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</si>
  <si>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</si>
  <si>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</si>
  <si>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</si>
  <si>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</si>
  <si>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</si>
  <si>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</si>
  <si>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</si>
  <si>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</si>
  <si>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</si>
  <si>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</si>
  <si>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</si>
  <si>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</si>
  <si>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</si>
  <si>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</si>
  <si>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</si>
  <si>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</si>
  <si>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</si>
  <si>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</si>
  <si>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</si>
  <si>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</si>
  <si>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</si>
  <si>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</si>
  <si>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</si>
  <si>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</si>
  <si>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</si>
  <si>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</si>
  <si>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</si>
  <si>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</si>
  <si>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</si>
  <si>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</si>
  <si>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</si>
  <si>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</si>
  <si>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</si>
  <si>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</si>
  <si>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</si>
  <si>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</si>
  <si>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</si>
  <si>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</si>
  <si>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</si>
  <si>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</si>
  <si>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</si>
  <si>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</si>
  <si>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</si>
  <si>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</si>
  <si>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</si>
  <si>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</si>
  <si>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</si>
  <si>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</si>
  <si>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</si>
  <si>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</si>
  <si>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</si>
  <si>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</si>
  <si>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</si>
  <si>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</si>
  <si>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</si>
  <si>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</si>
  <si>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</si>
  <si>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</si>
  <si>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</si>
  <si>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</si>
  <si>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</si>
  <si>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</si>
  <si>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</si>
  <si>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</si>
  <si>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</si>
  <si>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</si>
  <si>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</si>
  <si>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</si>
  <si>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</si>
  <si>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</si>
  <si>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</si>
  <si>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</si>
  <si>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</si>
  <si>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</si>
  <si>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</si>
  <si>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</si>
  <si>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</si>
  <si>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</si>
  <si>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</si>
  <si>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</si>
  <si>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</si>
  <si>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</si>
  <si>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</si>
  <si>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</si>
  <si>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</si>
  <si>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</si>
  <si>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</si>
  <si>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</si>
  <si>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</si>
  <si>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</si>
  <si>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</si>
  <si>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</si>
  <si>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</si>
  <si>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</si>
  <si>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</si>
  <si>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</si>
  <si>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</si>
  <si>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</si>
  <si>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</si>
  <si>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</si>
  <si>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</si>
  <si>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</si>
  <si>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</si>
  <si>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</si>
  <si>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</si>
  <si>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</si>
  <si>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</si>
  <si>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</si>
  <si>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</si>
  <si>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</si>
  <si>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</si>
  <si>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</si>
  <si>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</si>
  <si>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</si>
  <si>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</si>
  <si>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</si>
  <si>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</si>
  <si>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</si>
  <si>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</si>
  <si>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</si>
  <si>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</si>
  <si>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</si>
  <si>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</si>
  <si>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</si>
  <si>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</si>
  <si>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</si>
  <si>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</si>
  <si>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</si>
  <si>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</si>
  <si>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</si>
  <si>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</si>
  <si>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</si>
  <si>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</si>
  <si>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</si>
  <si>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</si>
  <si>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</si>
  <si>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</si>
  <si>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</si>
  <si>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</si>
  <si>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</si>
  <si>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</si>
  <si>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</si>
  <si>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</si>
  <si>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</si>
  <si>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</si>
  <si>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</si>
  <si>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</si>
  <si>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</si>
  <si>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</si>
  <si>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</si>
  <si>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</si>
  <si>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</si>
  <si>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</si>
  <si>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</si>
  <si>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</si>
  <si>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</si>
  <si>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</si>
  <si>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</si>
  <si>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</si>
  <si>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</si>
  <si>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</si>
  <si>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</si>
  <si>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</si>
  <si>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</si>
  <si>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</si>
  <si>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</si>
  <si>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</si>
  <si>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</si>
  <si>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</si>
  <si>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</si>
  <si>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</si>
  <si>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</si>
  <si>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</si>
  <si>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</si>
  <si>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</si>
  <si>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</si>
  <si>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</si>
  <si>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</si>
  <si>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</si>
  <si>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</si>
  <si>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</si>
  <si>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</si>
  <si>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</si>
  <si>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</si>
  <si>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</si>
  <si>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</si>
  <si>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</si>
  <si>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</si>
  <si>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</si>
  <si>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</si>
  <si>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</si>
  <si>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</si>
  <si>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</si>
  <si>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</si>
  <si>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</si>
  <si>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</si>
  <si>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</si>
  <si>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</si>
  <si>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</si>
  <si>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</si>
  <si>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</si>
  <si>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</si>
  <si>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</si>
  <si>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</si>
  <si>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</si>
  <si>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</si>
  <si>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</si>
  <si>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</si>
  <si>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</si>
  <si>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</si>
  <si>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</si>
  <si>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</si>
  <si>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</si>
  <si>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</si>
  <si>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</si>
  <si>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</si>
  <si>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</si>
  <si>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</si>
  <si>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</si>
  <si>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</si>
  <si>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</si>
  <si>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</si>
  <si>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</si>
  <si>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</si>
  <si>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</si>
  <si>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</si>
  <si>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</si>
  <si>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</si>
  <si>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</si>
  <si>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</si>
  <si>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</si>
  <si>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</si>
  <si>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</si>
  <si>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</si>
  <si>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</si>
  <si>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</si>
  <si>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</si>
  <si>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</si>
  <si>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</si>
  <si>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</si>
  <si>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</si>
  <si>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</si>
  <si>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</si>
  <si>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</si>
  <si>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</si>
  <si>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</si>
  <si>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</si>
  <si>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</si>
  <si>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</si>
  <si>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</si>
  <si>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</si>
  <si>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</si>
  <si>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</si>
  <si>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</si>
  <si>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</si>
  <si>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</si>
  <si>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</si>
  <si>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</si>
  <si>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</si>
  <si>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</si>
  <si>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</si>
  <si>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</si>
  <si>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</si>
  <si>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</si>
  <si>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</si>
  <si>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</si>
  <si>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</si>
  <si>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</si>
  <si>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</si>
  <si>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</si>
  <si>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</si>
  <si>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</si>
  <si>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</si>
  <si>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</si>
  <si>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</si>
  <si>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</si>
  <si>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</si>
  <si>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</si>
  <si>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</si>
  <si>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</si>
  <si>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</si>
  <si>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</si>
  <si>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</si>
  <si>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</si>
  <si>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</si>
  <si>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</si>
  <si>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</si>
  <si>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</si>
  <si>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</si>
  <si>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</si>
  <si>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</si>
  <si>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</si>
  <si>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</si>
  <si>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</si>
  <si>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</si>
  <si>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</si>
  <si>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</si>
  <si>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</si>
  <si>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</si>
  <si>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</si>
  <si>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</si>
  <si>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</si>
  <si>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</si>
  <si>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</si>
  <si>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</si>
  <si>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</si>
  <si>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</si>
  <si>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</si>
  <si>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</si>
  <si>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</si>
  <si>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</si>
  <si>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</si>
  <si>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</si>
  <si>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</si>
  <si>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</si>
  <si>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</si>
  <si>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</si>
  <si>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</si>
  <si>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</si>
  <si>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</si>
  <si>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</si>
  <si>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</si>
  <si>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</si>
  <si>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</si>
  <si>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</si>
  <si>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</si>
  <si>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</si>
  <si>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</si>
  <si>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</si>
  <si>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</si>
  <si>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</si>
  <si>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</si>
  <si>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</si>
  <si>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</si>
  <si>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</si>
  <si>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</si>
  <si>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</si>
  <si>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</si>
  <si>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</si>
  <si>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</si>
  <si>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</si>
  <si>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</si>
  <si>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</si>
  <si>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</si>
  <si>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</si>
  <si>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</si>
  <si>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</si>
  <si>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</si>
  <si>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</si>
  <si>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</si>
  <si>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</si>
  <si>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</si>
  <si>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</si>
  <si>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</si>
  <si>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</si>
  <si>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</si>
  <si>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</si>
  <si>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</si>
  <si>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</si>
  <si>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</si>
  <si>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</si>
  <si>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</si>
  <si>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</si>
  <si>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</si>
  <si>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</si>
  <si>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</si>
  <si>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</si>
  <si>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</si>
  <si>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</si>
  <si>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</si>
  <si>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</si>
  <si>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</si>
  <si>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</si>
  <si>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</si>
  <si>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</si>
  <si>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</si>
  <si>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</si>
  <si>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</si>
  <si>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</si>
  <si>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</si>
  <si>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</si>
  <si>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</si>
  <si>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</si>
  <si>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</si>
  <si>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</si>
  <si>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</si>
  <si>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</si>
  <si>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</si>
  <si>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</si>
  <si>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</si>
  <si>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</si>
  <si>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</si>
  <si>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</si>
  <si>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</si>
  <si>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</si>
  <si>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</si>
  <si>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</si>
  <si>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</si>
  <si>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</si>
  <si>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</si>
  <si>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</si>
  <si>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</si>
  <si>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</si>
  <si>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</si>
  <si>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</si>
  <si>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</si>
  <si>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</si>
  <si>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</si>
  <si>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</si>
  <si>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</si>
  <si>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</si>
  <si>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</si>
  <si>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</si>
  <si>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</si>
  <si>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</si>
  <si>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</si>
  <si>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</si>
  <si>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</si>
  <si>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</si>
  <si>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</si>
  <si>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</si>
  <si>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</si>
  <si>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</si>
  <si>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</si>
  <si>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</si>
  <si>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</si>
  <si>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</si>
  <si>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</si>
  <si>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</si>
  <si>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</si>
  <si>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</si>
  <si>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</si>
  <si>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</si>
  <si>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</si>
  <si>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</si>
  <si>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</si>
  <si>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</si>
  <si>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</si>
  <si>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</si>
  <si>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</si>
  <si>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</si>
  <si>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</si>
  <si>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</si>
  <si>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</si>
  <si>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</si>
  <si>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</si>
  <si>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</si>
  <si>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</si>
  <si>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</si>
  <si>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</si>
  <si>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</si>
  <si>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</si>
  <si>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</si>
  <si>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</si>
  <si>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</si>
  <si>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</si>
  <si>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</si>
  <si>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</si>
  <si>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</si>
  <si>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</si>
  <si>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</si>
  <si>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</si>
  <si>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</si>
  <si>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</si>
  <si>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</si>
  <si>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</si>
  <si>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</si>
  <si>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</si>
  <si>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</si>
  <si>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</si>
  <si>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</si>
  <si>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</si>
  <si>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</si>
  <si>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</si>
  <si>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</si>
  <si>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</si>
  <si>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</si>
  <si>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</si>
  <si>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</si>
  <si>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</si>
  <si>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</si>
  <si>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</si>
  <si>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</si>
  <si>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</si>
  <si>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</si>
  <si>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</si>
  <si>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</si>
  <si>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</si>
  <si>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</si>
  <si>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</si>
  <si>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</si>
  <si>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</si>
  <si>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</si>
  <si>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</si>
  <si>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</si>
  <si>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</si>
  <si>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</si>
  <si>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</si>
  <si>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</si>
  <si>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</si>
  <si>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</si>
  <si>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</si>
  <si>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</si>
  <si>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</si>
  <si>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</si>
  <si>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</si>
  <si>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</si>
  <si>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</si>
  <si>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</si>
  <si>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</si>
  <si>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</si>
  <si>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</si>
  <si>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</si>
  <si>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</si>
  <si>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</si>
  <si>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</si>
  <si>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</si>
  <si>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</si>
  <si>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</si>
  <si>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</si>
  <si>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</si>
  <si>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</si>
  <si>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</si>
  <si>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</si>
  <si>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</si>
  <si>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</si>
  <si>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</si>
  <si>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</si>
  <si>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</si>
  <si>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</si>
  <si>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</si>
  <si>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</si>
  <si>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</si>
  <si>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</si>
  <si>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</si>
  <si>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</si>
  <si>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</si>
  <si>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</si>
  <si>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</si>
  <si>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</si>
  <si>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</si>
  <si>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</si>
  <si>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</si>
  <si>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</si>
  <si>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</si>
  <si>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</si>
  <si>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</si>
  <si>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</si>
  <si>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</si>
  <si>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</si>
  <si>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</si>
  <si>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</si>
  <si>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</si>
  <si>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</si>
  <si>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</si>
  <si>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</si>
  <si>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</si>
  <si>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</si>
  <si>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</si>
  <si>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</si>
  <si>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</si>
  <si>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</si>
  <si>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</si>
  <si>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</si>
  <si>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</si>
  <si>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</si>
  <si>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</si>
  <si>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</si>
  <si>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</si>
  <si>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</si>
  <si>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</si>
  <si>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</si>
  <si>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</si>
  <si>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</si>
  <si>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</si>
  <si>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</si>
  <si>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</si>
  <si>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</si>
  <si>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</si>
  <si>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</si>
  <si>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</si>
  <si>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</si>
  <si>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</si>
  <si>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</si>
  <si>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</si>
  <si>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</si>
  <si>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</si>
  <si>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</si>
  <si>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</si>
  <si>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</si>
  <si>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</si>
  <si>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</si>
  <si>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</si>
  <si>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</si>
  <si>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</si>
  <si>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</si>
  <si>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</si>
  <si>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</si>
  <si>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</si>
  <si>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</si>
  <si>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</si>
  <si>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</si>
  <si>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</si>
  <si>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</si>
  <si>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</si>
  <si>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</si>
  <si>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</si>
  <si>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</si>
  <si>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</si>
  <si>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</si>
  <si>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</si>
  <si>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</si>
  <si>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</si>
  <si>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</si>
  <si>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</si>
  <si>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</si>
  <si>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</si>
  <si>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</si>
  <si>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</si>
  <si>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</si>
  <si>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</si>
  <si>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</si>
  <si>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</si>
  <si>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</si>
  <si>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</si>
  <si>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</si>
  <si>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</si>
  <si>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</si>
  <si>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</si>
  <si>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</si>
  <si>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</si>
  <si>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</si>
  <si>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</si>
  <si>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</si>
  <si>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</si>
  <si>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</si>
  <si>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</si>
  <si>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</si>
  <si>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</si>
  <si>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</si>
  <si>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</si>
  <si>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</si>
  <si>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</si>
  <si>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</si>
  <si>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</si>
  <si>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</si>
  <si>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</si>
  <si>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</si>
  <si>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</si>
  <si>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</si>
  <si>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</si>
  <si>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</si>
  <si>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</si>
  <si>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</si>
  <si>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</si>
  <si>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</si>
  <si>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</si>
  <si>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</si>
  <si>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</si>
  <si>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</si>
  <si>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</si>
  <si>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</si>
  <si>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</si>
  <si>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</si>
  <si>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</si>
  <si>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</si>
  <si>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</si>
  <si>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</si>
  <si>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</si>
  <si>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</si>
  <si>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</si>
  <si>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</si>
  <si>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</si>
  <si>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</si>
  <si>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</si>
  <si>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</si>
  <si>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</si>
  <si>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</si>
  <si>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</si>
  <si>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</si>
  <si>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</si>
  <si>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</si>
  <si>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</si>
  <si>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</si>
  <si>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</si>
  <si>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</si>
  <si>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</si>
  <si>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</si>
  <si>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</si>
  <si>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</si>
  <si>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</si>
  <si>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</si>
  <si>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</si>
  <si>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</si>
  <si>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</si>
  <si>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</si>
  <si>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</si>
  <si>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</si>
  <si>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</si>
  <si>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</si>
  <si>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</si>
  <si>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</si>
  <si>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</si>
  <si>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</si>
  <si>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</si>
  <si>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</si>
  <si>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</si>
  <si>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</si>
  <si>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</si>
  <si>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</si>
  <si>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</si>
  <si>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</si>
  <si>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</si>
  <si>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</si>
  <si>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</si>
  <si>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</si>
  <si>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</si>
  <si>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</si>
  <si>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</si>
  <si>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</si>
  <si>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</si>
  <si>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</si>
  <si>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</si>
  <si>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</si>
  <si>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</si>
  <si>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</si>
  <si>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</si>
  <si>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</si>
  <si>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</si>
  <si>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</si>
  <si>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</si>
  <si>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</si>
  <si>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</si>
  <si>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</si>
  <si>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</si>
  <si>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</si>
  <si>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</si>
  <si>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</si>
  <si>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</si>
  <si>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</si>
  <si>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</si>
  <si>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</si>
  <si>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</si>
  <si>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</si>
  <si>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</si>
  <si>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</si>
  <si>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</si>
  <si>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</si>
  <si>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</si>
  <si>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</si>
  <si>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</si>
  <si>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</si>
  <si>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</si>
  <si>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</si>
  <si>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</si>
  <si>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</si>
  <si>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</si>
  <si>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</si>
  <si>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</si>
  <si>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</si>
  <si>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</si>
  <si>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</si>
  <si>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</si>
  <si>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</si>
  <si>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</si>
  <si>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</si>
  <si>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</si>
  <si>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</si>
  <si>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</si>
  <si>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</si>
  <si>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</si>
  <si>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</si>
  <si>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</si>
  <si>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</si>
  <si>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</si>
  <si>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</si>
  <si>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</si>
  <si>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</si>
  <si>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</si>
  <si>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</si>
  <si>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</si>
  <si>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</si>
  <si>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</si>
  <si>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</si>
  <si>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</si>
  <si>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</si>
  <si>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</si>
  <si>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</si>
  <si>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</si>
  <si>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</si>
  <si>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</si>
  <si>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</si>
  <si>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</si>
  <si>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</si>
  <si>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</si>
  <si>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</si>
  <si>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</si>
  <si>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</si>
  <si>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</si>
  <si>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</si>
  <si>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</si>
  <si>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</si>
  <si>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</si>
  <si>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</si>
  <si>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</si>
  <si>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</si>
  <si>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</si>
  <si>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</si>
  <si>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</si>
  <si>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</si>
  <si>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</si>
  <si>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</si>
  <si>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</si>
  <si>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</si>
  <si>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</si>
  <si>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</si>
  <si>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</si>
  <si>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</si>
  <si>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</si>
  <si>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</si>
  <si>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</si>
  <si>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</si>
  <si>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</si>
  <si>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</si>
  <si>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</si>
  <si>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</si>
  <si>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</si>
  <si>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</si>
  <si>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</si>
  <si>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</si>
  <si>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</si>
  <si>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</si>
  <si>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</si>
  <si>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</si>
  <si>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</si>
  <si>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</si>
  <si>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</si>
  <si>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</si>
  <si>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</si>
  <si>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</si>
  <si>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</si>
  <si>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</si>
  <si>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</si>
  <si>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</si>
  <si>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</si>
  <si>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</si>
  <si>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</si>
  <si>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</si>
  <si>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</si>
  <si>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</si>
  <si>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</si>
  <si>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</si>
  <si>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</si>
  <si>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</si>
  <si>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</si>
  <si>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</si>
  <si>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</si>
  <si>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</si>
  <si>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</si>
  <si>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</si>
  <si>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</si>
  <si>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</si>
  <si>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</si>
  <si>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</si>
  <si>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</si>
  <si>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</si>
  <si>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</si>
  <si>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</si>
  <si>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</si>
  <si>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</si>
  <si>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</si>
  <si>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</si>
  <si>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</si>
  <si>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</si>
  <si>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</si>
  <si>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</si>
  <si>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</si>
  <si>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</si>
  <si>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</si>
  <si>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</si>
  <si>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</si>
  <si>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</si>
  <si>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</si>
  <si>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</si>
  <si>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</si>
  <si>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</si>
  <si>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</si>
  <si>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</si>
  <si>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</si>
  <si>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</si>
  <si>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</si>
  <si>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</si>
  <si>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</si>
  <si>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</si>
  <si>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</si>
  <si>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</si>
  <si>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</si>
  <si>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</si>
  <si>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</si>
  <si>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</si>
  <si>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</si>
  <si>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</si>
  <si>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</si>
  <si>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</si>
  <si>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</si>
  <si>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</si>
  <si>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</si>
  <si>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</si>
  <si>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</si>
  <si>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</si>
  <si>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</si>
  <si>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</si>
  <si>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</si>
  <si>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</si>
  <si>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</si>
  <si>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</si>
  <si>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</si>
  <si>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</si>
  <si>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</si>
  <si>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</si>
  <si>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</si>
  <si>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</si>
  <si>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</si>
  <si>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</si>
  <si>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</si>
  <si>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</si>
  <si>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</si>
  <si>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</si>
  <si>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</si>
  <si>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</si>
  <si>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</si>
  <si>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</si>
  <si>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</si>
  <si>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</si>
  <si>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</si>
  <si>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</si>
  <si>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</si>
  <si>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</si>
  <si>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</si>
  <si>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</si>
  <si>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</si>
  <si>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</si>
  <si>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</si>
  <si>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</si>
  <si>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</si>
  <si>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</si>
  <si>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</si>
  <si>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</si>
  <si>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</si>
  <si>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</si>
  <si>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</si>
  <si>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</si>
  <si>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</si>
  <si>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</si>
  <si>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</si>
  <si>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</si>
  <si>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</si>
  <si>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</si>
  <si>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</si>
  <si>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</si>
  <si>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</si>
  <si>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</si>
  <si>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</si>
  <si>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</si>
  <si>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</si>
  <si>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</si>
  <si>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</si>
  <si>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</si>
  <si>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</si>
  <si>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</si>
  <si>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</si>
  <si>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</si>
  <si>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</si>
  <si>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</si>
  <si>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</si>
  <si>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</si>
  <si>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</si>
  <si>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</si>
  <si>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</si>
  <si>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</si>
  <si>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</si>
  <si>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</si>
  <si>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</si>
  <si>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</si>
  <si>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</si>
  <si>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</si>
  <si>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</si>
  <si>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</si>
  <si>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</si>
  <si>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</si>
  <si>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</si>
  <si>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</si>
  <si>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</si>
  <si>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</si>
  <si>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</si>
  <si>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</si>
  <si>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</si>
  <si>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</si>
  <si>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</si>
  <si>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</si>
  <si>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</si>
  <si>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</si>
  <si>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</si>
  <si>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</si>
  <si>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</si>
  <si>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</si>
  <si>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</si>
  <si>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</si>
  <si>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</si>
  <si>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</si>
  <si>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</si>
  <si>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</si>
  <si>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</si>
  <si>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</si>
  <si>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</si>
  <si>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</si>
  <si>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</si>
  <si>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</si>
  <si>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</si>
  <si>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</si>
  <si>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</si>
  <si>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</si>
  <si>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</si>
  <si>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</si>
  <si>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</si>
  <si>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</si>
  <si>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</si>
  <si>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</si>
  <si>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</si>
  <si>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</si>
  <si>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</si>
  <si>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</si>
  <si>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</si>
  <si>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</si>
  <si>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</si>
  <si>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</si>
  <si>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</si>
  <si>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</si>
  <si>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</si>
  <si>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</si>
  <si>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</si>
  <si>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</si>
  <si>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</si>
  <si>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</si>
  <si>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</si>
  <si>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</si>
  <si>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</si>
  <si>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</si>
  <si>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</si>
  <si>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</si>
  <si>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</si>
  <si>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</si>
  <si>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</si>
  <si>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</si>
  <si>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</si>
  <si>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</si>
  <si>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</si>
  <si>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</si>
  <si>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</si>
  <si>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</si>
  <si>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</si>
  <si>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</si>
  <si>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</si>
  <si>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</si>
  <si>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</si>
  <si>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</si>
  <si>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</si>
  <si>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</si>
  <si>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</si>
  <si>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</si>
  <si>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</si>
  <si>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</si>
  <si>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</si>
  <si>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</si>
  <si>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</si>
  <si>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</si>
  <si>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</si>
  <si>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</si>
  <si>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</si>
  <si>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</si>
  <si>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</si>
  <si>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</si>
  <si>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</si>
  <si>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</si>
  <si>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</si>
  <si>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</si>
  <si>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</si>
  <si>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</si>
  <si>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</si>
  <si>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</si>
  <si>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</si>
  <si>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</si>
  <si>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</si>
  <si>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</si>
  <si>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</si>
  <si>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</si>
  <si>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</si>
  <si>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</si>
  <si>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</si>
  <si>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</si>
  <si>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</si>
  <si>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</si>
  <si>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</si>
  <si>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</si>
  <si>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</si>
  <si>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</si>
  <si>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</si>
  <si>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</si>
  <si>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</si>
  <si>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</si>
  <si>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</si>
  <si>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</si>
  <si>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</si>
  <si>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</si>
  <si>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</si>
  <si>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</si>
  <si>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</si>
  <si>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</si>
  <si>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</si>
  <si>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</si>
  <si>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</si>
  <si>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</si>
  <si>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</si>
  <si>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</si>
  <si>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</si>
  <si>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</si>
  <si>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</si>
  <si>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</si>
  <si>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</si>
  <si>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</si>
  <si>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</si>
  <si>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</si>
  <si>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</si>
  <si>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</si>
  <si>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</si>
  <si>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</si>
  <si>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</si>
  <si>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</si>
  <si>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</si>
  <si>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</si>
  <si>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</si>
  <si>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</si>
  <si>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</si>
  <si>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</si>
  <si>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</si>
  <si>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</si>
  <si>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</si>
  <si>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</si>
  <si>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</si>
  <si>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</si>
  <si>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</si>
  <si>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</si>
  <si>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</si>
  <si>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</si>
  <si>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</si>
  <si>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</si>
  <si>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</si>
  <si>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</si>
  <si>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</si>
  <si>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</si>
  <si>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</si>
  <si>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</si>
  <si>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</si>
  <si>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</si>
  <si>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</si>
  <si>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</si>
  <si>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</si>
  <si>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</si>
  <si>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</si>
  <si>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</si>
  <si>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</si>
  <si>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</si>
  <si>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</si>
  <si>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</si>
  <si>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</si>
  <si>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</si>
  <si>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</si>
  <si>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</si>
  <si>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</si>
  <si>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</si>
  <si>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</si>
  <si>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</si>
  <si>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</si>
  <si>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</si>
  <si>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</si>
  <si>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</si>
  <si>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</si>
  <si>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</si>
  <si>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</si>
  <si>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</si>
  <si>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</si>
  <si>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</si>
  <si>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</si>
  <si>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</si>
  <si>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</si>
  <si>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</si>
  <si>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</si>
  <si>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</si>
  <si>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</si>
  <si>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</si>
  <si>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</si>
  <si>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</si>
  <si>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</si>
  <si>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</si>
  <si>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</si>
  <si>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</si>
  <si>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</si>
  <si>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</si>
  <si>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</si>
  <si>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</si>
  <si>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</si>
  <si>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</si>
  <si>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</si>
  <si>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</si>
  <si>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</si>
  <si>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</si>
  <si>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</si>
  <si>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</si>
  <si>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</si>
  <si>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</si>
  <si>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</si>
  <si>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</si>
  <si>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</si>
  <si>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</si>
  <si>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</si>
  <si>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</si>
  <si>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</si>
  <si>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</si>
  <si>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</si>
  <si>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</si>
  <si>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</si>
  <si>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</si>
  <si>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</si>
  <si>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</si>
  <si>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</si>
  <si>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</si>
  <si>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</si>
  <si>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</si>
  <si>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</si>
  <si>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</si>
  <si>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</si>
  <si>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</si>
  <si>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</si>
  <si>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</si>
  <si>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</si>
  <si>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</si>
  <si>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</si>
  <si>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</si>
  <si>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</si>
  <si>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</si>
  <si>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</si>
  <si>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</si>
  <si>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</si>
  <si>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</si>
  <si>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</si>
  <si>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</si>
  <si>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</si>
  <si>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</si>
  <si>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</si>
  <si>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</si>
  <si>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</si>
  <si>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</si>
  <si>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</si>
  <si>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</si>
  <si>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</si>
  <si>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</si>
  <si>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</si>
  <si>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</si>
  <si>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</si>
  <si>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</si>
  <si>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</si>
  <si>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</si>
  <si>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</si>
  <si>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</si>
  <si>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</si>
  <si>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</si>
  <si>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</si>
  <si>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</si>
  <si>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</si>
  <si>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</si>
  <si>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</si>
  <si>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</si>
  <si>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</si>
  <si>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</si>
  <si>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</si>
  <si>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</si>
  <si>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</si>
  <si>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</si>
  <si>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</si>
  <si>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</si>
  <si>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</si>
  <si>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</si>
  <si>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</si>
  <si>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</si>
  <si>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</si>
  <si>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</si>
  <si>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</si>
  <si>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</si>
  <si>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</si>
  <si>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</si>
  <si>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</si>
  <si>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</si>
  <si>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</si>
  <si>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</si>
  <si>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</si>
  <si>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</si>
  <si>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</si>
  <si>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</si>
  <si>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</si>
  <si>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</si>
  <si>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</si>
  <si>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</si>
  <si>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</si>
  <si>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</si>
  <si>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</si>
  <si>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</si>
  <si>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</si>
  <si>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</si>
  <si>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</si>
  <si>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</si>
  <si>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</si>
  <si>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</si>
  <si>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</si>
  <si>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</si>
  <si>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</si>
  <si>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</si>
  <si>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</si>
  <si>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</si>
  <si>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</si>
  <si>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</si>
  <si>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</si>
  <si>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</si>
  <si>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</si>
  <si>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</si>
  <si>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</si>
  <si>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</si>
  <si>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</si>
  <si>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</si>
  <si>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</si>
  <si>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</si>
  <si>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</si>
  <si>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</si>
  <si>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</si>
  <si>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</si>
  <si>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</si>
  <si>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</si>
  <si>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</si>
  <si>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</si>
  <si>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</si>
  <si>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</si>
  <si>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</si>
  <si>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</si>
  <si>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</si>
  <si>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</si>
  <si>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</si>
  <si>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</si>
  <si>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</si>
  <si>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</si>
  <si>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</si>
  <si>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</si>
  <si>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</si>
  <si>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</si>
  <si>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</si>
  <si>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</si>
  <si>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</si>
  <si>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</si>
  <si>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</si>
  <si>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</si>
  <si>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</si>
  <si>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</si>
  <si>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</si>
  <si>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</si>
  <si>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</si>
  <si>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</si>
  <si>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</si>
  <si>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</si>
  <si>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</si>
  <si>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</si>
  <si>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</si>
  <si>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</si>
  <si>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</si>
  <si>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</si>
  <si>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</si>
  <si>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</si>
  <si>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</si>
  <si>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</si>
  <si>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</si>
  <si>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</si>
  <si>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</si>
  <si>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</si>
  <si>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</si>
  <si>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</si>
  <si>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</si>
  <si>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</si>
  <si>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</si>
  <si>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</si>
  <si>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</si>
  <si>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</si>
  <si>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</si>
  <si>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</si>
  <si>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</si>
  <si>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</si>
  <si>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</si>
  <si>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</si>
  <si>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</si>
  <si>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</si>
  <si>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</si>
  <si>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</si>
  <si>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</si>
  <si>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</si>
  <si>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</si>
  <si>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</si>
  <si>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</si>
  <si>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</si>
  <si>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</si>
  <si>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</si>
  <si>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</si>
  <si>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</si>
  <si>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</si>
  <si>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</si>
  <si>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</si>
  <si>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</si>
  <si>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</si>
  <si>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</si>
  <si>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</si>
  <si>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</si>
  <si>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</si>
  <si>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</si>
  <si>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</si>
  <si>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</si>
  <si>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</si>
  <si>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</si>
  <si>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</si>
  <si>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</si>
  <si>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</si>
  <si>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</si>
  <si>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</si>
  <si>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</si>
  <si>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</si>
  <si>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</si>
  <si>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</si>
  <si>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</si>
  <si>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</si>
  <si>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</si>
  <si>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</si>
  <si>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</si>
  <si>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</si>
  <si>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</si>
  <si>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</si>
  <si>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</si>
  <si>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</si>
  <si>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</si>
  <si>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</si>
  <si>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</si>
  <si>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</si>
  <si>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</si>
  <si>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</si>
  <si>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</si>
  <si>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</si>
  <si>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</si>
  <si>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</si>
  <si>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</si>
  <si>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</si>
  <si>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</si>
  <si>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</si>
  <si>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</si>
  <si>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</si>
  <si>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</si>
  <si>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</si>
  <si>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</si>
  <si>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</si>
  <si>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</si>
  <si>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</si>
  <si>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</si>
  <si>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</si>
  <si>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</si>
  <si>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</si>
  <si>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</si>
  <si>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</si>
  <si>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</si>
  <si>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</si>
  <si>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</si>
  <si>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</si>
  <si>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</si>
  <si>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</si>
  <si>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</si>
  <si>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</si>
  <si>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</si>
  <si>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</si>
  <si>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</si>
  <si>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</si>
  <si>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</si>
  <si>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</si>
  <si>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</si>
  <si>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</si>
  <si>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</si>
  <si>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</si>
  <si>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</si>
  <si>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</si>
  <si>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</si>
  <si>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</si>
  <si>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</si>
  <si>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</si>
  <si>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</si>
  <si>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</si>
  <si>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</si>
  <si>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</si>
  <si>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</si>
  <si>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</si>
  <si>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</si>
  <si>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</si>
  <si>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</si>
  <si>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</si>
  <si>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</si>
  <si>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</si>
  <si>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</si>
  <si>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</si>
  <si>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</si>
  <si>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</si>
  <si>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</si>
  <si>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</si>
  <si>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</si>
  <si>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</si>
  <si>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</si>
  <si>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</si>
  <si>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</si>
  <si>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</si>
  <si>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</si>
  <si>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</si>
  <si>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</si>
  <si>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</si>
  <si>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</si>
  <si>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</si>
  <si>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</si>
  <si>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</si>
  <si>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</si>
  <si>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</si>
  <si>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</si>
  <si>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</si>
  <si>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</si>
  <si>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</si>
  <si>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</si>
  <si>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</si>
  <si>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</si>
  <si>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</si>
  <si>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</si>
  <si>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</si>
  <si>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</si>
  <si>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</si>
  <si>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</si>
  <si>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</si>
  <si>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</si>
  <si>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</si>
  <si>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</si>
  <si>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</si>
  <si>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</si>
  <si>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</si>
  <si>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</si>
  <si>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</si>
  <si>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</si>
  <si>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</si>
  <si>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</si>
  <si>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</si>
  <si>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</si>
  <si>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</si>
  <si>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</si>
  <si>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</si>
  <si>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</si>
  <si>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</si>
  <si>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</si>
  <si>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</si>
  <si>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</si>
  <si>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</si>
  <si>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</si>
  <si>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</si>
  <si>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</si>
  <si>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</si>
  <si>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</si>
  <si>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</si>
  <si>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</si>
  <si>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</si>
  <si>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</si>
  <si>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</si>
  <si>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</si>
  <si>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</si>
  <si>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</si>
  <si>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</si>
  <si>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</si>
  <si>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</si>
  <si>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</si>
  <si>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</si>
  <si>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</si>
  <si>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</si>
  <si>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</si>
  <si>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</si>
  <si>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</si>
  <si>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</si>
  <si>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</si>
  <si>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</si>
  <si>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</si>
  <si>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</si>
  <si>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</si>
  <si>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</si>
  <si>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</si>
  <si>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</si>
  <si>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</si>
  <si>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</si>
  <si>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</si>
  <si>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</si>
  <si>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</si>
  <si>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</si>
  <si>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</si>
  <si>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</si>
  <si>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</si>
  <si>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</si>
  <si>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</si>
  <si>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</si>
  <si>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</si>
  <si>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</si>
  <si>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</si>
  <si>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</si>
  <si>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</si>
  <si>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</si>
  <si>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</si>
  <si>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</si>
  <si>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</si>
  <si>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</si>
  <si>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</si>
  <si>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</si>
  <si>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</si>
  <si>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</si>
  <si>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</si>
  <si>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</si>
  <si>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</si>
  <si>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</si>
  <si>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</si>
  <si>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</si>
  <si>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</si>
  <si>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</si>
  <si>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</si>
  <si>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</si>
  <si>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</si>
  <si>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</si>
  <si>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</si>
  <si>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</si>
  <si>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</si>
  <si>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</si>
  <si>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</si>
  <si>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</si>
  <si>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</si>
  <si>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</si>
  <si>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</si>
  <si>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</si>
  <si>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</si>
  <si>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</si>
  <si>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</si>
  <si>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</si>
  <si>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</si>
  <si>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</si>
  <si>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</si>
  <si>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</si>
  <si>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</si>
  <si>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</si>
  <si>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</si>
  <si>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</si>
  <si>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</si>
  <si>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</si>
  <si>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</si>
  <si>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</si>
  <si>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</si>
  <si>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</si>
  <si>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</si>
  <si>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</si>
  <si>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</si>
  <si>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</si>
  <si>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</si>
  <si>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</si>
  <si>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</si>
  <si>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</si>
  <si>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</si>
  <si>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</si>
  <si>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</si>
  <si>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</si>
  <si>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</si>
  <si>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</si>
  <si>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</si>
  <si>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</si>
  <si>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</si>
  <si>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</si>
  <si>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</si>
  <si>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</si>
  <si>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</si>
  <si>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</si>
  <si>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</si>
  <si>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</si>
  <si>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</si>
  <si>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</si>
  <si>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</si>
  <si>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</si>
  <si>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</si>
  <si>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</si>
  <si>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</si>
  <si>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</si>
  <si>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</si>
  <si>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</si>
  <si>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</si>
  <si>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</si>
  <si>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</si>
  <si>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</si>
  <si>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</si>
  <si>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</si>
  <si>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</si>
  <si>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</si>
  <si>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</si>
  <si>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</si>
  <si>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</si>
  <si>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</si>
  <si>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</si>
  <si>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</si>
  <si>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</si>
  <si>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</si>
  <si>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</si>
  <si>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</si>
  <si>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</si>
  <si>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</si>
  <si>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</si>
  <si>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</si>
  <si>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</si>
  <si>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</si>
  <si>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</si>
  <si>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</si>
  <si>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</si>
  <si>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</si>
  <si>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</si>
  <si>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</si>
  <si>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</si>
  <si>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</si>
  <si>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</si>
  <si>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</si>
  <si>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</si>
  <si>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</si>
  <si>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</si>
  <si>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</si>
  <si>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</si>
  <si>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</si>
  <si>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</si>
  <si>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</si>
  <si>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</si>
  <si>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</si>
  <si>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</si>
  <si>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</si>
  <si>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</si>
  <si>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</si>
  <si>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</si>
  <si>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</si>
  <si>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</si>
  <si>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</si>
  <si>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</si>
  <si>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</si>
  <si>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</si>
  <si>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</si>
  <si>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</si>
  <si>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</si>
  <si>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</si>
  <si>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</si>
  <si>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</si>
  <si>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</si>
  <si>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</si>
  <si>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</si>
  <si>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</si>
  <si>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</si>
  <si>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</si>
  <si>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</si>
  <si>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</si>
  <si>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</si>
  <si>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</si>
  <si>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</si>
  <si>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</si>
  <si>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</si>
  <si>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</si>
  <si>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</si>
  <si>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</si>
  <si>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</si>
  <si>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</si>
  <si>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</si>
  <si>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</si>
  <si>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</si>
  <si>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</si>
  <si>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</si>
  <si>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</si>
  <si>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</si>
  <si>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</si>
  <si>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</si>
  <si>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</si>
  <si>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</si>
  <si>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</si>
  <si>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</si>
  <si>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</si>
  <si>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</si>
  <si>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</si>
  <si>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</si>
  <si>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</si>
  <si>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</si>
  <si>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</si>
  <si>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</si>
  <si>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</si>
  <si>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</si>
  <si>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</si>
  <si>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</si>
  <si>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</si>
  <si>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</si>
  <si>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</si>
  <si>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</si>
  <si>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</si>
  <si>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</si>
  <si>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</si>
  <si>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</si>
  <si>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</si>
  <si>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</si>
  <si>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</si>
  <si>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</si>
  <si>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</si>
  <si>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</si>
  <si>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</si>
  <si>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</si>
  <si>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</si>
  <si>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</si>
  <si>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</si>
  <si>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</si>
  <si>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</si>
  <si>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</si>
  <si>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</si>
  <si>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</si>
  <si>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</si>
  <si>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</si>
  <si>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</si>
  <si>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</si>
  <si>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</si>
  <si>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</si>
  <si>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</si>
  <si>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</si>
  <si>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</si>
  <si>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</si>
  <si>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</si>
  <si>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</si>
  <si>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</si>
  <si>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</si>
  <si>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</si>
  <si>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</si>
  <si>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</si>
  <si>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</si>
  <si>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</si>
  <si>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</si>
  <si>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</si>
  <si>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</si>
  <si>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</si>
  <si>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</si>
  <si>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</si>
  <si>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</si>
  <si>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</si>
  <si>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</si>
  <si>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Grand Total</t>
  </si>
  <si>
    <t>Total Revenue</t>
  </si>
  <si>
    <t>Revenue by Region</t>
  </si>
  <si>
    <t>Customer_Type</t>
  </si>
  <si>
    <t>Revenue by Customer Type</t>
  </si>
  <si>
    <t>Column Labels</t>
  </si>
  <si>
    <t>Revenue by Product</t>
  </si>
  <si>
    <t>Sales Person</t>
  </si>
  <si>
    <t>Revenue by Store Location</t>
  </si>
  <si>
    <t>Question 1</t>
  </si>
  <si>
    <t>Total Orders</t>
  </si>
  <si>
    <t>Returned Orders</t>
  </si>
  <si>
    <t>Return Rate</t>
  </si>
  <si>
    <t>Revenue by Sales Person</t>
  </si>
  <si>
    <t>None</t>
  </si>
  <si>
    <t>Avg. Discount</t>
  </si>
  <si>
    <t>Avg. Order Quantity</t>
  </si>
  <si>
    <t>Delivery Days</t>
  </si>
  <si>
    <t>Max of Delivery Days</t>
  </si>
  <si>
    <t>Avg. Delivery Days</t>
  </si>
  <si>
    <t>Delivery Status</t>
  </si>
  <si>
    <t>Delayed Orders</t>
  </si>
  <si>
    <t>Delay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</si>
</sst>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6"/>
      <color theme="6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Continuous"/>
    </xf>
    <xf numFmtId="0" fontId="2" fillId="2" borderId="0" xfId="0" applyFont="1" applyFill="1"/>
    <xf numFmtId="10" fontId="0" fillId="0" borderId="0" xfId="0" applyNumberFormat="1"/>
    <xf numFmtId="0" fontId="0" fillId="2" borderId="0" xfId="0" applyFill="1"/>
    <xf numFmtId="1" fontId="0" fillId="0" borderId="0" xfId="0" applyNumberFormat="1"/>
    <xf numFmtId="0" fontId="3" fillId="0" borderId="0" xfId="0" applyFont="1" applyAlignment="1">
      <alignment horizontal="center" vertical="center"/>
    </xf>
    <xf numFmtId="10" fontId="0" fillId="0" borderId="0" xfId="1" applyNumberFormat="1" applyFont="1"/>
    <xf numFmtId="0" fontId="1" fillId="0" borderId="0" xfId="0" applyFont="1"/>
  </cellXfs>
  <cellStyles count="2">
    <cellStyle name="Normal" xfId="0" builtinId="0"/>
    <cellStyle name="Percent" xfId="1" builtinId="5"/>
  </cellStyles>
  <dxfs count="34">
    <dxf>
      <font>
        <sz val="11"/>
        <color theme="0"/>
        <name val="Calibri"/>
        <family val="2"/>
        <scheme val="minor"/>
      </font>
    </dxf>
    <dxf>
      <font>
        <color theme="0"/>
      </font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numFmt numFmtId="2" formatCode="0.0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3" formatCode="0%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4" formatCode="0.00%"/>
    </dxf>
    <dxf>
      <numFmt numFmtId="1" formatCode="0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2" formatCode="0.0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2" defaultTableStyle="TableStyleMedium9" defaultPivotStyle="PivotStyleLight16">
    <tableStyle name="Timeline Style 1" pivot="0" table="0" count="7" xr9:uid="{8CFF7DA7-9CFF-4D43-A245-7AE53CE17D74}">
      <tableStyleElement type="wholeTable" dxfId="2"/>
    </tableStyle>
    <tableStyle name="Timeline Style 2" pivot="0" table="0" count="9" xr9:uid="{180B23C2-AF98-44CA-8BB5-2A39F9D8769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3">
        <dxf>
          <fill>
            <patternFill>
              <bgColor theme="3" tint="0.79998168889431442"/>
            </patternFill>
          </fill>
        </dxf>
        <dxf>
          <fill>
            <patternFill patternType="solid">
              <fgColor theme="0" tint="-0.14996795556505021"/>
              <bgColor theme="3" tint="0.39994506668294322"/>
            </patternFill>
          </fill>
        </dxf>
        <dxf>
          <fill>
            <patternFill patternType="solid">
              <fgColor theme="0"/>
              <bgColor theme="3" tint="-0.24994659260841701"/>
            </patternFill>
          </fill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10"/>
            <color theme="0"/>
            <name val="Calibri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10"/>
            <x15:timelineStyleElement type="timeLevel" dxfId="9"/>
            <x15:timelineStyleElement type="periodLabel1" dxfId="8"/>
            <x15:timelineStyleElement type="periodLabel2" dxfId="7"/>
            <x15:timelineStyleElement type="selectedTimeBlock" dxfId="12"/>
            <x15:timelineStyleElement type="unselectedTimeBlock" dxfId="11"/>
          </x15:timelineStyleElements>
        </x15:timelineStyle>
        <x15:timelineStyle name="Timeline Style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5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pivotCacheDefinition" Target="pivotCache/pivotCacheDefinition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19" Type="http://schemas.openxmlformats.org/officeDocument/2006/relationships/pivotCacheDefinition" Target="pivotCache/pivotCacheDefinition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microsoft.com/office/2011/relationships/timelineCache" Target="timelineCaches/timelineCache1.xml"/><Relationship Id="rId27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Data.xlsx]Questions!PivotTable6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 rad="139700">
              <a:schemeClr val="accent5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</a:schemeClr>
          </a:solidFill>
          <a:ln w="19050">
            <a:noFill/>
          </a:ln>
          <a:effectLst>
            <a:glow rad="139700">
              <a:schemeClr val="accent5">
                <a:satMod val="175000"/>
                <a:alpha val="40000"/>
              </a:schemeClr>
            </a:glow>
          </a:effectLst>
        </c:spPr>
        <c:dLbl>
          <c:idx val="0"/>
          <c:layout>
            <c:manualLayout>
              <c:x val="0.1367485971051704"/>
              <c:y val="-0.28991627811417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40000"/>
              <a:lumOff val="60000"/>
            </a:schemeClr>
          </a:solidFill>
          <a:ln w="19050">
            <a:noFill/>
          </a:ln>
          <a:effectLst>
            <a:glow rad="139700">
              <a:schemeClr val="accent5">
                <a:satMod val="175000"/>
                <a:alpha val="40000"/>
              </a:schemeClr>
            </a:glow>
          </a:effectLst>
        </c:spPr>
        <c:dLbl>
          <c:idx val="0"/>
          <c:layout>
            <c:manualLayout>
              <c:x val="-0.12272309996617867"/>
              <c:y val="0.341687042063134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Questions!$E$20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glow rad="139700">
                <a:schemeClr val="accent5">
                  <a:satMod val="175000"/>
                  <a:alpha val="40000"/>
                </a:schemeClr>
              </a:glow>
            </a:effectLst>
          </c:spPr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noFill/>
              </a:ln>
              <a:effectLst>
                <a:glow rad="139700">
                  <a:schemeClr val="accent5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FDBC-491A-A3A3-204D1C43B151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noFill/>
              </a:ln>
              <a:effectLst>
                <a:glow rad="139700">
                  <a:schemeClr val="accent5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FDBC-491A-A3A3-204D1C43B151}"/>
              </c:ext>
            </c:extLst>
          </c:dPt>
          <c:dLbls>
            <c:dLbl>
              <c:idx val="0"/>
              <c:layout>
                <c:manualLayout>
                  <c:x val="0.1367485971051704"/>
                  <c:y val="-0.2899162781141745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BC-491A-A3A3-204D1C43B151}"/>
                </c:ext>
              </c:extLst>
            </c:dLbl>
            <c:dLbl>
              <c:idx val="1"/>
              <c:layout>
                <c:manualLayout>
                  <c:x val="-0.12272309996617867"/>
                  <c:y val="0.3416870420631342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BC-491A-A3A3-204D1C43B1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Questions!$D$21:$D$23</c:f>
              <c:strCache>
                <c:ptCount val="2"/>
                <c:pt idx="0">
                  <c:v>Retail</c:v>
                </c:pt>
                <c:pt idx="1">
                  <c:v>Wholesale</c:v>
                </c:pt>
              </c:strCache>
            </c:strRef>
          </c:cat>
          <c:val>
            <c:numRef>
              <c:f>Questions!$E$21:$E$23</c:f>
              <c:numCache>
                <c:formatCode>0.00</c:formatCode>
                <c:ptCount val="2"/>
                <c:pt idx="0">
                  <c:v>2195525.5929999994</c:v>
                </c:pt>
                <c:pt idx="1">
                  <c:v>2184466.8355000019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BC-491A-A3A3-204D1C43B1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8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Data.xlsx]Questions!PivotTable3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40000"/>
                      <a:lumOff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75000"/>
            </a:schemeClr>
          </a:solidFill>
          <a:ln>
            <a:noFill/>
          </a:ln>
          <a:effectLst>
            <a:glow rad="101600">
              <a:schemeClr val="accent5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>
            <a:glow rad="101600">
              <a:schemeClr val="accent5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Questions!$E$5:$E$6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>
              <a:glow rad="101600">
                <a:schemeClr val="accent5">
                  <a:satMod val="175000"/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Questions!$D$7:$D$12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  <c:pt idx="4">
                  <c:v>Central</c:v>
                </c:pt>
              </c:strCache>
            </c:strRef>
          </c:cat>
          <c:val>
            <c:numRef>
              <c:f>Questions!$E$7:$E$12</c:f>
              <c:numCache>
                <c:formatCode>0.00</c:formatCode>
                <c:ptCount val="5"/>
                <c:pt idx="0">
                  <c:v>417764.44900000002</c:v>
                </c:pt>
                <c:pt idx="1">
                  <c:v>399793.1275</c:v>
                </c:pt>
                <c:pt idx="2">
                  <c:v>381137.4344999998</c:v>
                </c:pt>
                <c:pt idx="3">
                  <c:v>522368.15449999995</c:v>
                </c:pt>
                <c:pt idx="4">
                  <c:v>474462.42750000005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C4-4E60-A6F4-DBEEAD929400}"/>
            </c:ext>
          </c:extLst>
        </c:ser>
        <c:ser>
          <c:idx val="1"/>
          <c:order val="1"/>
          <c:tx>
            <c:strRef>
              <c:f>Questions!$F$5:$F$6</c:f>
              <c:strCache>
                <c:ptCount val="1"/>
                <c:pt idx="0">
                  <c:v>Wholesale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>
              <a:glow rad="101600">
                <a:schemeClr val="accent5">
                  <a:satMod val="175000"/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Questions!$D$7:$D$12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  <c:pt idx="4">
                  <c:v>Central</c:v>
                </c:pt>
              </c:strCache>
            </c:strRef>
          </c:cat>
          <c:val>
            <c:numRef>
              <c:f>Questions!$F$7:$F$12</c:f>
              <c:numCache>
                <c:formatCode>0.00</c:formatCode>
                <c:ptCount val="5"/>
                <c:pt idx="0">
                  <c:v>465869.26899999991</c:v>
                </c:pt>
                <c:pt idx="1">
                  <c:v>453685.7314999997</c:v>
                </c:pt>
                <c:pt idx="2">
                  <c:v>446630.75250000018</c:v>
                </c:pt>
                <c:pt idx="3">
                  <c:v>445589.82550000004</c:v>
                </c:pt>
                <c:pt idx="4">
                  <c:v>372691.25699999998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C4-4E60-A6F4-DBEEAD9294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7"/>
        <c:axId val="1171296479"/>
        <c:axId val="1171300799"/>
      </c:barChart>
      <c:catAx>
        <c:axId val="1171296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300799"/>
        <c:crosses val="autoZero"/>
        <c:auto val="1"/>
        <c:lblAlgn val="ctr"/>
        <c:lblOffset val="100"/>
        <c:noMultiLvlLbl val="0"/>
      </c:catAx>
      <c:valAx>
        <c:axId val="1171300799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171296479"/>
        <c:crosses val="autoZero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>
      <a:glow rad="1016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Data.xlsx]Questions!PivotTable2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bg1">
                  <a:alpha val="20000"/>
                </a:schemeClr>
              </a:gs>
              <a:gs pos="50000">
                <a:schemeClr val="accent1">
                  <a:lumMod val="20000"/>
                  <a:lumOff val="80000"/>
                </a:schemeClr>
              </a:gs>
              <a:gs pos="100000">
                <a:schemeClr val="accent1">
                  <a:lumMod val="20000"/>
                  <a:lumOff val="80000"/>
                </a:schemeClr>
              </a:gs>
            </a:gsLst>
            <a:lin ang="16200000" scaled="1"/>
          </a:gradFill>
          <a:ln>
            <a:noFill/>
          </a:ln>
          <a:effectLst>
            <a:glow rad="101600">
              <a:schemeClr val="accent5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Questions!$B$5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bg1">
                    <a:alpha val="20000"/>
                  </a:schemeClr>
                </a:gs>
                <a:gs pos="50000">
                  <a:schemeClr val="accent1">
                    <a:lumMod val="20000"/>
                    <a:lumOff val="80000"/>
                  </a:schemeClr>
                </a:gs>
                <a:gs pos="100000">
                  <a:schemeClr val="accent1">
                    <a:lumMod val="20000"/>
                    <a:lumOff val="80000"/>
                  </a:schemeClr>
                </a:gs>
              </a:gsLst>
              <a:lin ang="16200000" scaled="1"/>
            </a:gradFill>
            <a:ln>
              <a:noFill/>
            </a:ln>
            <a:effectLst>
              <a:glow rad="101600">
                <a:schemeClr val="accent5">
                  <a:satMod val="175000"/>
                  <a:alpha val="40000"/>
                </a:schemeClr>
              </a:glow>
            </a:effectLst>
          </c:spPr>
          <c:invertIfNegative val="0"/>
          <c:cat>
            <c:strRef>
              <c:f>Questions!$A$6:$A$11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Questions!$B$6:$B$11</c:f>
              <c:numCache>
                <c:formatCode>0.00</c:formatCode>
                <c:ptCount val="5"/>
                <c:pt idx="0">
                  <c:v>847153.68450000032</c:v>
                </c:pt>
                <c:pt idx="1">
                  <c:v>883633.71800000116</c:v>
                </c:pt>
                <c:pt idx="2">
                  <c:v>967957.98000000068</c:v>
                </c:pt>
                <c:pt idx="3">
                  <c:v>827768.18699999992</c:v>
                </c:pt>
                <c:pt idx="4">
                  <c:v>853478.85900000017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9-48B6-B8DD-0CF83611A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6"/>
        <c:overlap val="4"/>
        <c:axId val="1240114367"/>
        <c:axId val="1240114847"/>
      </c:barChart>
      <c:catAx>
        <c:axId val="124011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114847"/>
        <c:crosses val="autoZero"/>
        <c:auto val="1"/>
        <c:lblAlgn val="ctr"/>
        <c:lblOffset val="100"/>
        <c:noMultiLvlLbl val="0"/>
      </c:catAx>
      <c:valAx>
        <c:axId val="1240114847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24011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Data.xlsx]Questions!PivotTable7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75000"/>
            </a:schemeClr>
          </a:solidFill>
          <a:ln>
            <a:noFill/>
          </a:ln>
          <a:effectLst>
            <a:glow rad="101600">
              <a:schemeClr val="accent5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tx2">
                  <a:lumMod val="20000"/>
                  <a:lumOff val="80000"/>
                </a:schemeClr>
              </a:gs>
              <a:gs pos="50000">
                <a:schemeClr val="accent1">
                  <a:lumMod val="75000"/>
                  <a:alpha val="40000"/>
                </a:schemeClr>
              </a:gs>
              <a:gs pos="100000">
                <a:schemeClr val="accent1">
                  <a:lumMod val="79000"/>
                </a:schemeClr>
              </a:gs>
            </a:gsLst>
            <a:lin ang="16200000" scaled="1"/>
          </a:gradFill>
          <a:ln>
            <a:noFill/>
          </a:ln>
          <a:effectLst>
            <a:glow rad="101600">
              <a:schemeClr val="accent5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0">
                <a:schemeClr val="tx2">
                  <a:lumMod val="20000"/>
                  <a:lumOff val="80000"/>
                </a:schemeClr>
              </a:gs>
              <a:gs pos="50000">
                <a:schemeClr val="tx2">
                  <a:lumMod val="40000"/>
                  <a:lumOff val="60000"/>
                </a:schemeClr>
              </a:gs>
              <a:gs pos="100000">
                <a:schemeClr val="tx2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>
            <a:glow rad="101600">
              <a:schemeClr val="accent5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0">
                <a:schemeClr val="bg1"/>
              </a:gs>
              <a:gs pos="50000">
                <a:schemeClr val="accent1">
                  <a:lumMod val="20000"/>
                  <a:lumOff val="80000"/>
                  <a:alpha val="45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16200000" scaled="1"/>
          </a:gradFill>
          <a:ln>
            <a:noFill/>
          </a:ln>
          <a:effectLst>
            <a:glow rad="101600">
              <a:schemeClr val="accent5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Questions!$H$16:$H$17</c:f>
              <c:strCache>
                <c:ptCount val="1"/>
                <c:pt idx="0">
                  <c:v>Store A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>
              <a:glow rad="101600">
                <a:schemeClr val="accent5">
                  <a:satMod val="175000"/>
                  <a:alpha val="40000"/>
                </a:schemeClr>
              </a:glow>
            </a:effectLst>
          </c:spPr>
          <c:invertIfNegative val="0"/>
          <c:cat>
            <c:strRef>
              <c:f>Questions!$G$18:$G$23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Questions!$H$18:$H$23</c:f>
              <c:numCache>
                <c:formatCode>0.00</c:formatCode>
                <c:ptCount val="5"/>
                <c:pt idx="0">
                  <c:v>213134.00200000001</c:v>
                </c:pt>
                <c:pt idx="1">
                  <c:v>236436.01849999992</c:v>
                </c:pt>
                <c:pt idx="2">
                  <c:v>195946.8175</c:v>
                </c:pt>
                <c:pt idx="3">
                  <c:v>223516.71949999998</c:v>
                </c:pt>
                <c:pt idx="4">
                  <c:v>219479.04650000005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6-48A5-99A5-84AA41F0801E}"/>
            </c:ext>
          </c:extLst>
        </c:ser>
        <c:ser>
          <c:idx val="1"/>
          <c:order val="1"/>
          <c:tx>
            <c:strRef>
              <c:f>Questions!$I$16:$I$17</c:f>
              <c:strCache>
                <c:ptCount val="1"/>
                <c:pt idx="0">
                  <c:v>Store B</c:v>
                </c:pt>
              </c:strCache>
            </c:strRef>
          </c:tx>
          <c:spPr>
            <a:gradFill>
              <a:gsLst>
                <a:gs pos="0">
                  <a:schemeClr val="tx2">
                    <a:lumMod val="20000"/>
                    <a:lumOff val="80000"/>
                  </a:schemeClr>
                </a:gs>
                <a:gs pos="50000">
                  <a:schemeClr val="accent1">
                    <a:lumMod val="75000"/>
                    <a:alpha val="40000"/>
                  </a:schemeClr>
                </a:gs>
                <a:gs pos="100000">
                  <a:schemeClr val="accent1">
                    <a:lumMod val="79000"/>
                  </a:schemeClr>
                </a:gs>
              </a:gsLst>
              <a:lin ang="16200000" scaled="1"/>
            </a:gradFill>
            <a:ln>
              <a:noFill/>
            </a:ln>
            <a:effectLst>
              <a:glow rad="101600">
                <a:schemeClr val="accent5">
                  <a:satMod val="175000"/>
                  <a:alpha val="40000"/>
                </a:schemeClr>
              </a:glow>
            </a:effectLst>
          </c:spPr>
          <c:invertIfNegative val="0"/>
          <c:cat>
            <c:strRef>
              <c:f>Questions!$G$18:$G$23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Questions!$I$18:$I$23</c:f>
              <c:numCache>
                <c:formatCode>0.00</c:formatCode>
                <c:ptCount val="5"/>
                <c:pt idx="0">
                  <c:v>189736.30850000007</c:v>
                </c:pt>
                <c:pt idx="1">
                  <c:v>219992.25249999994</c:v>
                </c:pt>
                <c:pt idx="2">
                  <c:v>218722.58499999999</c:v>
                </c:pt>
                <c:pt idx="3">
                  <c:v>216057.75549999997</c:v>
                </c:pt>
                <c:pt idx="4">
                  <c:v>185140.25099999993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6-48A5-99A5-84AA41F0801E}"/>
            </c:ext>
          </c:extLst>
        </c:ser>
        <c:ser>
          <c:idx val="2"/>
          <c:order val="2"/>
          <c:tx>
            <c:strRef>
              <c:f>Questions!$J$16:$J$17</c:f>
              <c:strCache>
                <c:ptCount val="1"/>
                <c:pt idx="0">
                  <c:v>Store C</c:v>
                </c:pt>
              </c:strCache>
            </c:strRef>
          </c:tx>
          <c:spPr>
            <a:gradFill>
              <a:gsLst>
                <a:gs pos="0">
                  <a:schemeClr val="tx2">
                    <a:lumMod val="20000"/>
                    <a:lumOff val="80000"/>
                  </a:schemeClr>
                </a:gs>
                <a:gs pos="50000">
                  <a:schemeClr val="tx2">
                    <a:lumMod val="40000"/>
                    <a:lumOff val="60000"/>
                  </a:schemeClr>
                </a:gs>
                <a:gs pos="100000">
                  <a:schemeClr val="tx2">
                    <a:lumMod val="40000"/>
                    <a:lumOff val="60000"/>
                  </a:schemeClr>
                </a:gs>
              </a:gsLst>
              <a:lin ang="16200000" scaled="1"/>
            </a:gradFill>
            <a:ln>
              <a:noFill/>
            </a:ln>
            <a:effectLst>
              <a:glow rad="101600">
                <a:schemeClr val="accent5">
                  <a:satMod val="175000"/>
                  <a:alpha val="40000"/>
                </a:schemeClr>
              </a:glow>
            </a:effectLst>
          </c:spPr>
          <c:invertIfNegative val="0"/>
          <c:cat>
            <c:strRef>
              <c:f>Questions!$G$18:$G$23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Questions!$J$18:$J$23</c:f>
              <c:numCache>
                <c:formatCode>0.00</c:formatCode>
                <c:ptCount val="5"/>
                <c:pt idx="0">
                  <c:v>198208.49149999995</c:v>
                </c:pt>
                <c:pt idx="1">
                  <c:v>202893.649</c:v>
                </c:pt>
                <c:pt idx="2">
                  <c:v>286795.31350000005</c:v>
                </c:pt>
                <c:pt idx="3">
                  <c:v>186140.60850000003</c:v>
                </c:pt>
                <c:pt idx="4">
                  <c:v>182266.74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06-48A5-99A5-84AA41F0801E}"/>
            </c:ext>
          </c:extLst>
        </c:ser>
        <c:ser>
          <c:idx val="3"/>
          <c:order val="3"/>
          <c:tx>
            <c:strRef>
              <c:f>Questions!$K$16:$K$17</c:f>
              <c:strCache>
                <c:ptCount val="1"/>
                <c:pt idx="0">
                  <c:v>Store D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50000">
                  <a:schemeClr val="accent1">
                    <a:lumMod val="20000"/>
                    <a:lumOff val="80000"/>
                    <a:alpha val="45000"/>
                  </a:schemeClr>
                </a:gs>
                <a:gs pos="100000">
                  <a:schemeClr val="tx2">
                    <a:lumMod val="20000"/>
                    <a:lumOff val="80000"/>
                  </a:schemeClr>
                </a:gs>
              </a:gsLst>
              <a:lin ang="16200000" scaled="1"/>
            </a:gradFill>
            <a:ln>
              <a:noFill/>
            </a:ln>
            <a:effectLst>
              <a:glow rad="101600">
                <a:schemeClr val="accent5">
                  <a:satMod val="175000"/>
                  <a:alpha val="40000"/>
                </a:schemeClr>
              </a:glow>
            </a:effectLst>
          </c:spPr>
          <c:invertIfNegative val="0"/>
          <c:cat>
            <c:strRef>
              <c:f>Questions!$G$18:$G$23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Questions!$K$18:$K$23</c:f>
              <c:numCache>
                <c:formatCode>0.00</c:formatCode>
                <c:ptCount val="5"/>
                <c:pt idx="0">
                  <c:v>246074.88250000007</c:v>
                </c:pt>
                <c:pt idx="1">
                  <c:v>224311.79800000001</c:v>
                </c:pt>
                <c:pt idx="2">
                  <c:v>266493.26400000002</c:v>
                </c:pt>
                <c:pt idx="3">
                  <c:v>202053.10349999991</c:v>
                </c:pt>
                <c:pt idx="4">
                  <c:v>266592.82149999996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06-48A5-99A5-84AA41F08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305599"/>
        <c:axId val="1171306559"/>
      </c:barChart>
      <c:catAx>
        <c:axId val="117130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306559"/>
        <c:crosses val="autoZero"/>
        <c:auto val="1"/>
        <c:lblAlgn val="ctr"/>
        <c:lblOffset val="100"/>
        <c:noMultiLvlLbl val="0"/>
      </c:catAx>
      <c:valAx>
        <c:axId val="11713065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17130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Data.xlsx]Questions!PivotTable4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bg1">
                  <a:alpha val="20000"/>
                </a:schemeClr>
              </a:gs>
              <a:gs pos="50000">
                <a:schemeClr val="accent1">
                  <a:lumMod val="20000"/>
                  <a:lumOff val="80000"/>
                </a:schemeClr>
              </a:gs>
              <a:gs pos="100000">
                <a:schemeClr val="accent1">
                  <a:lumMod val="20000"/>
                  <a:lumOff val="80000"/>
                </a:schemeClr>
              </a:gs>
            </a:gsLst>
            <a:lin ang="16200000" scaled="1"/>
          </a:gradFill>
          <a:ln>
            <a:noFill/>
          </a:ln>
          <a:effectLst>
            <a:glow rad="101600">
              <a:schemeClr val="accent5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Questions!$L$5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bg1">
                    <a:alpha val="20000"/>
                  </a:schemeClr>
                </a:gs>
                <a:gs pos="50000">
                  <a:schemeClr val="accent1">
                    <a:lumMod val="20000"/>
                    <a:lumOff val="80000"/>
                  </a:schemeClr>
                </a:gs>
                <a:gs pos="100000">
                  <a:schemeClr val="accent1">
                    <a:lumMod val="20000"/>
                    <a:lumOff val="80000"/>
                  </a:schemeClr>
                </a:gs>
              </a:gsLst>
              <a:lin ang="16200000" scaled="1"/>
            </a:gradFill>
            <a:ln>
              <a:noFill/>
            </a:ln>
            <a:effectLst>
              <a:glow rad="101600">
                <a:schemeClr val="accent5">
                  <a:satMod val="175000"/>
                  <a:alpha val="40000"/>
                </a:schemeClr>
              </a:glo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Questions!$K$6:$K$13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Questions!$L$6:$L$13</c:f>
              <c:numCache>
                <c:formatCode>0.00</c:formatCode>
                <c:ptCount val="7"/>
                <c:pt idx="0">
                  <c:v>622589.47800000012</c:v>
                </c:pt>
                <c:pt idx="1">
                  <c:v>555266.6645000003</c:v>
                </c:pt>
                <c:pt idx="2">
                  <c:v>684417.24150000012</c:v>
                </c:pt>
                <c:pt idx="3">
                  <c:v>651629.39249999973</c:v>
                </c:pt>
                <c:pt idx="4">
                  <c:v>497162.85099999979</c:v>
                </c:pt>
                <c:pt idx="5">
                  <c:v>684387.4155000007</c:v>
                </c:pt>
                <c:pt idx="6">
                  <c:v>684539.38550000067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AA-453E-93C2-DAB0BDE81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overlap val="-27"/>
        <c:axId val="1424409535"/>
        <c:axId val="1424392255"/>
      </c:barChart>
      <c:catAx>
        <c:axId val="142440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392255"/>
        <c:crosses val="autoZero"/>
        <c:auto val="1"/>
        <c:lblAlgn val="ctr"/>
        <c:lblOffset val="100"/>
        <c:noMultiLvlLbl val="0"/>
      </c:catAx>
      <c:valAx>
        <c:axId val="1424392255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42440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48-4A74-BBE1-C68CDB09A38E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48-4A74-BBE1-C68CDB09A38E}"/>
              </c:ext>
            </c:extLst>
          </c:dPt>
          <c:val>
            <c:numRef>
              <c:f>Questions!$J$48:$J$49</c:f>
              <c:numCache>
                <c:formatCode>0.00%</c:formatCode>
                <c:ptCount val="2"/>
                <c:pt idx="0">
                  <c:v>0.45400000000000001</c:v>
                </c:pt>
                <c:pt idx="1">
                  <c:v>0.54600000000000004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48-4A74-BBE1-C68CDB09A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D9-4A48-8472-D218C8CB1D44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D9-4A48-8472-D218C8CB1D44}"/>
              </c:ext>
            </c:extLst>
          </c:dPt>
          <c:val>
            <c:numRef>
              <c:f>Questions!$L$48:$L$49</c:f>
              <c:numCache>
                <c:formatCode>0.00%</c:formatCode>
                <c:ptCount val="2"/>
                <c:pt idx="0">
                  <c:v>0.248</c:v>
                </c:pt>
                <c:pt idx="1">
                  <c:v>0.752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D9-4A48-8472-D218C8CB1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Data.xlsx]Questions!PivotTable5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bg1">
                  <a:alpha val="20000"/>
                </a:schemeClr>
              </a:gs>
              <a:gs pos="50000">
                <a:schemeClr val="tx2">
                  <a:lumMod val="20000"/>
                  <a:lumOff val="80000"/>
                  <a:alpha val="42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Questions!$H$30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flip="none" rotWithShape="1">
              <a:gsLst>
                <a:gs pos="0">
                  <a:schemeClr val="bg1">
                    <a:alpha val="20000"/>
                  </a:schemeClr>
                </a:gs>
                <a:gs pos="50000">
                  <a:schemeClr val="tx2">
                    <a:lumMod val="20000"/>
                    <a:lumOff val="80000"/>
                    <a:alpha val="42000"/>
                  </a:schemeClr>
                </a:gs>
                <a:gs pos="100000">
                  <a:schemeClr val="tx2">
                    <a:lumMod val="20000"/>
                    <a:lumOff val="8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Questions!$F$31:$F$37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Questions!$H$31:$H$37</c:f>
              <c:numCache>
                <c:formatCode>0.00</c:formatCode>
                <c:ptCount val="6"/>
                <c:pt idx="0">
                  <c:v>786165.8400000002</c:v>
                </c:pt>
                <c:pt idx="1">
                  <c:v>796780.52149999957</c:v>
                </c:pt>
                <c:pt idx="2">
                  <c:v>707166.71600000071</c:v>
                </c:pt>
                <c:pt idx="3">
                  <c:v>676568.2495000005</c:v>
                </c:pt>
                <c:pt idx="4">
                  <c:v>698669.57950000011</c:v>
                </c:pt>
                <c:pt idx="5">
                  <c:v>714641.52200000035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2-4FB4-86D4-0D5DCFAA7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2002447"/>
        <c:axId val="1092852143"/>
      </c:barChart>
      <c:lineChart>
        <c:grouping val="standard"/>
        <c:varyColors val="0"/>
        <c:ser>
          <c:idx val="0"/>
          <c:order val="0"/>
          <c:tx>
            <c:strRef>
              <c:f>Questions!$G$30</c:f>
              <c:strCache>
                <c:ptCount val="1"/>
                <c:pt idx="0">
                  <c:v>Total Orders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Questions!$F$31:$F$37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Questions!$G$31:$G$37</c:f>
              <c:numCache>
                <c:formatCode>0.00</c:formatCode>
                <c:ptCount val="6"/>
                <c:pt idx="0">
                  <c:v>259</c:v>
                </c:pt>
                <c:pt idx="1">
                  <c:v>243</c:v>
                </c:pt>
                <c:pt idx="2">
                  <c:v>270</c:v>
                </c:pt>
                <c:pt idx="3">
                  <c:v>249</c:v>
                </c:pt>
                <c:pt idx="4">
                  <c:v>236</c:v>
                </c:pt>
                <c:pt idx="5">
                  <c:v>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D2-4FB4-86D4-0D5DCFAA7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0265679"/>
        <c:axId val="1090255119"/>
      </c:lineChart>
      <c:catAx>
        <c:axId val="10902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55119"/>
        <c:crosses val="autoZero"/>
        <c:auto val="1"/>
        <c:lblAlgn val="ctr"/>
        <c:lblOffset val="100"/>
        <c:noMultiLvlLbl val="0"/>
      </c:catAx>
      <c:valAx>
        <c:axId val="109025511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65679"/>
        <c:crosses val="autoZero"/>
        <c:crossBetween val="between"/>
      </c:valAx>
      <c:valAx>
        <c:axId val="109285214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002447"/>
        <c:crosses val="max"/>
        <c:crossBetween val="between"/>
      </c:valAx>
      <c:catAx>
        <c:axId val="1242002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28521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Data.xlsx]Questions!PivotTable8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bg1">
                  <a:alpha val="20000"/>
                </a:schemeClr>
              </a:gs>
              <a:gs pos="50000">
                <a:schemeClr val="tx2">
                  <a:lumMod val="20000"/>
                  <a:lumOff val="80000"/>
                  <a:alpha val="42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bg1">
                  <a:alpha val="20000"/>
                </a:schemeClr>
              </a:gs>
              <a:gs pos="50000">
                <a:schemeClr val="accent1">
                  <a:lumMod val="20000"/>
                  <a:lumOff val="80000"/>
                </a:schemeClr>
              </a:gs>
              <a:gs pos="100000">
                <a:schemeClr val="accent1">
                  <a:lumMod val="20000"/>
                  <a:lumOff val="80000"/>
                </a:scheme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Questions!$B$30</c:f>
              <c:strCache>
                <c:ptCount val="1"/>
                <c:pt idx="0">
                  <c:v>Total Orders</c:v>
                </c:pt>
              </c:strCache>
            </c:strRef>
          </c:tx>
          <c:spPr>
            <a:gradFill>
              <a:gsLst>
                <a:gs pos="0">
                  <a:schemeClr val="bg1">
                    <a:alpha val="20000"/>
                  </a:schemeClr>
                </a:gs>
                <a:gs pos="50000">
                  <a:schemeClr val="tx2">
                    <a:lumMod val="20000"/>
                    <a:lumOff val="80000"/>
                    <a:alpha val="42000"/>
                  </a:schemeClr>
                </a:gs>
                <a:gs pos="100000">
                  <a:schemeClr val="tx2">
                    <a:lumMod val="20000"/>
                    <a:lumOff val="8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cat>
            <c:strRef>
              <c:f>Questions!$A$31:$A$37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Questions!$B$31:$B$37</c:f>
              <c:numCache>
                <c:formatCode>General</c:formatCode>
                <c:ptCount val="6"/>
                <c:pt idx="0">
                  <c:v>259</c:v>
                </c:pt>
                <c:pt idx="1">
                  <c:v>243</c:v>
                </c:pt>
                <c:pt idx="2">
                  <c:v>270</c:v>
                </c:pt>
                <c:pt idx="3">
                  <c:v>249</c:v>
                </c:pt>
                <c:pt idx="4">
                  <c:v>236</c:v>
                </c:pt>
                <c:pt idx="5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9-4147-A038-EB82712057D5}"/>
            </c:ext>
          </c:extLst>
        </c:ser>
        <c:ser>
          <c:idx val="1"/>
          <c:order val="1"/>
          <c:tx>
            <c:strRef>
              <c:f>Questions!$C$30</c:f>
              <c:strCache>
                <c:ptCount val="1"/>
                <c:pt idx="0">
                  <c:v>Returned Orders</c:v>
                </c:pt>
              </c:strCache>
            </c:strRef>
          </c:tx>
          <c:spPr>
            <a:gradFill>
              <a:gsLst>
                <a:gs pos="0">
                  <a:schemeClr val="bg1">
                    <a:alpha val="20000"/>
                  </a:schemeClr>
                </a:gs>
                <a:gs pos="50000">
                  <a:schemeClr val="accent1">
                    <a:lumMod val="20000"/>
                    <a:lumOff val="80000"/>
                  </a:schemeClr>
                </a:gs>
                <a:gs pos="100000">
                  <a:schemeClr val="accent1">
                    <a:lumMod val="20000"/>
                    <a:lumOff val="8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cat>
            <c:strRef>
              <c:f>Questions!$A$31:$A$37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Questions!$C$31:$C$37</c:f>
              <c:numCache>
                <c:formatCode>General</c:formatCode>
                <c:ptCount val="6"/>
                <c:pt idx="0">
                  <c:v>64</c:v>
                </c:pt>
                <c:pt idx="1">
                  <c:v>64</c:v>
                </c:pt>
                <c:pt idx="2">
                  <c:v>76</c:v>
                </c:pt>
                <c:pt idx="3">
                  <c:v>62</c:v>
                </c:pt>
                <c:pt idx="4">
                  <c:v>51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9-4147-A038-EB8271205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4"/>
        <c:axId val="1090257519"/>
        <c:axId val="1090262319"/>
      </c:barChart>
      <c:lineChart>
        <c:grouping val="standard"/>
        <c:varyColors val="0"/>
        <c:ser>
          <c:idx val="2"/>
          <c:order val="2"/>
          <c:tx>
            <c:strRef>
              <c:f>Questions!$D$30</c:f>
              <c:strCache>
                <c:ptCount val="1"/>
                <c:pt idx="0">
                  <c:v>Return Rate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Questions!$A$31:$A$37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Questions!$D$31:$D$37</c:f>
              <c:numCache>
                <c:formatCode>0.00%</c:formatCode>
                <c:ptCount val="6"/>
                <c:pt idx="0">
                  <c:v>0.24710424710424711</c:v>
                </c:pt>
                <c:pt idx="1">
                  <c:v>0.26337448559670784</c:v>
                </c:pt>
                <c:pt idx="2">
                  <c:v>0.2814814814814815</c:v>
                </c:pt>
                <c:pt idx="3">
                  <c:v>0.24899598393574296</c:v>
                </c:pt>
                <c:pt idx="4">
                  <c:v>0.21610169491525424</c:v>
                </c:pt>
                <c:pt idx="5">
                  <c:v>0.22633744855967078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89-4147-A038-EB8271205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104095"/>
        <c:axId val="1242114175"/>
      </c:lineChart>
      <c:catAx>
        <c:axId val="109025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62319"/>
        <c:crosses val="autoZero"/>
        <c:auto val="1"/>
        <c:lblAlgn val="ctr"/>
        <c:lblOffset val="100"/>
        <c:noMultiLvlLbl val="0"/>
      </c:catAx>
      <c:valAx>
        <c:axId val="1090262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57519"/>
        <c:crosses val="autoZero"/>
        <c:crossBetween val="between"/>
      </c:valAx>
      <c:valAx>
        <c:axId val="124211417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104095"/>
        <c:crosses val="max"/>
        <c:crossBetween val="between"/>
      </c:valAx>
      <c:catAx>
        <c:axId val="1242104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21141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Data.xlsx]Questions!PivotTable10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tx2">
                  <a:lumMod val="20000"/>
                  <a:lumOff val="80000"/>
                  <a:alpha val="0"/>
                </a:schemeClr>
              </a:gs>
              <a:gs pos="24000">
                <a:srgbClr val="C6D9F1">
                  <a:alpha val="30000"/>
                </a:srgbClr>
              </a:gs>
              <a:gs pos="50000">
                <a:schemeClr val="tx2">
                  <a:lumMod val="20000"/>
                  <a:lumOff val="8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7707863983699254E-2"/>
              <c:y val="-7.1963643725170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770786398369924E-2"/>
              <c:y val="-8.43640418397894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770786398369931E-2"/>
              <c:y val="-8.02305758015832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770786398369924E-2"/>
              <c:y val="-8.43640418397894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Questions!$R$8</c:f>
              <c:strCache>
                <c:ptCount val="1"/>
                <c:pt idx="0">
                  <c:v>Total Orders</c:v>
                </c:pt>
              </c:strCache>
            </c:strRef>
          </c:tx>
          <c:spPr>
            <a:gradFill>
              <a:gsLst>
                <a:gs pos="0">
                  <a:schemeClr val="tx2">
                    <a:lumMod val="20000"/>
                    <a:lumOff val="80000"/>
                    <a:alpha val="0"/>
                  </a:schemeClr>
                </a:gs>
                <a:gs pos="24000">
                  <a:srgbClr val="C6D9F1">
                    <a:alpha val="30000"/>
                  </a:srgbClr>
                </a:gs>
                <a:gs pos="50000">
                  <a:schemeClr val="tx2">
                    <a:lumMod val="20000"/>
                    <a:lumOff val="8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Questions!$Q$9:$Q$13</c:f>
              <c:strCache>
                <c:ptCount val="4"/>
                <c:pt idx="0">
                  <c:v>FREESHIP</c:v>
                </c:pt>
                <c:pt idx="1">
                  <c:v>None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Questions!$R$9:$R$13</c:f>
              <c:numCache>
                <c:formatCode>General</c:formatCode>
                <c:ptCount val="4"/>
                <c:pt idx="0">
                  <c:v>419</c:v>
                </c:pt>
                <c:pt idx="1">
                  <c:v>370</c:v>
                </c:pt>
                <c:pt idx="2">
                  <c:v>338</c:v>
                </c:pt>
                <c:pt idx="3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2-47FA-A310-540B1B20B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093055"/>
        <c:axId val="1242108415"/>
      </c:barChart>
      <c:lineChart>
        <c:grouping val="standard"/>
        <c:varyColors val="0"/>
        <c:ser>
          <c:idx val="1"/>
          <c:order val="1"/>
          <c:tx>
            <c:strRef>
              <c:f>Questions!$S$8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7707863983699254E-2"/>
                  <c:y val="-7.19636437251707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A62-47FA-A310-540B1B20B629}"/>
                </c:ext>
              </c:extLst>
            </c:dLbl>
            <c:dLbl>
              <c:idx val="1"/>
              <c:layout>
                <c:manualLayout>
                  <c:x val="-6.770786398369924E-2"/>
                  <c:y val="-8.43640418397894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62-47FA-A310-540B1B20B629}"/>
                </c:ext>
              </c:extLst>
            </c:dLbl>
            <c:dLbl>
              <c:idx val="2"/>
              <c:layout>
                <c:manualLayout>
                  <c:x val="-6.770786398369931E-2"/>
                  <c:y val="-8.02305758015832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62-47FA-A310-540B1B20B629}"/>
                </c:ext>
              </c:extLst>
            </c:dLbl>
            <c:dLbl>
              <c:idx val="3"/>
              <c:layout>
                <c:manualLayout>
                  <c:x val="-6.770786398369924E-2"/>
                  <c:y val="-8.43640418397894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A62-47FA-A310-540B1B20B6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Questions!$Q$9:$Q$13</c:f>
              <c:strCache>
                <c:ptCount val="4"/>
                <c:pt idx="0">
                  <c:v>FREESHIP</c:v>
                </c:pt>
                <c:pt idx="1">
                  <c:v>None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Questions!$S$9:$S$13</c:f>
              <c:numCache>
                <c:formatCode>General</c:formatCode>
                <c:ptCount val="4"/>
                <c:pt idx="0">
                  <c:v>1238076.9235000007</c:v>
                </c:pt>
                <c:pt idx="1">
                  <c:v>1074246.7715000003</c:v>
                </c:pt>
                <c:pt idx="2">
                  <c:v>989656.80550000037</c:v>
                </c:pt>
                <c:pt idx="3">
                  <c:v>1078011.9280000005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62-47FA-A310-540B1B20B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579967"/>
        <c:axId val="1236564127"/>
      </c:lineChart>
      <c:catAx>
        <c:axId val="124209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108415"/>
        <c:crosses val="autoZero"/>
        <c:auto val="1"/>
        <c:lblAlgn val="ctr"/>
        <c:lblOffset val="100"/>
        <c:noMultiLvlLbl val="0"/>
      </c:catAx>
      <c:valAx>
        <c:axId val="1242108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093055"/>
        <c:crosses val="autoZero"/>
        <c:crossBetween val="between"/>
      </c:valAx>
      <c:valAx>
        <c:axId val="12365641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79967"/>
        <c:crosses val="max"/>
        <c:crossBetween val="between"/>
      </c:valAx>
      <c:catAx>
        <c:axId val="1236579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65641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Data.xlsx]Questions!PivotTable11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tx2">
                  <a:lumMod val="20000"/>
                  <a:lumOff val="80000"/>
                  <a:alpha val="0"/>
                </a:schemeClr>
              </a:gs>
              <a:gs pos="24000">
                <a:srgbClr val="C6D9F1">
                  <a:alpha val="30000"/>
                </a:srgbClr>
              </a:gs>
              <a:gs pos="50000">
                <a:schemeClr val="tx2">
                  <a:lumMod val="20000"/>
                  <a:lumOff val="80000"/>
                </a:schemeClr>
              </a:gs>
              <a:gs pos="100000">
                <a:schemeClr val="accent1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Questions!$R$16</c:f>
              <c:strCache>
                <c:ptCount val="1"/>
                <c:pt idx="0">
                  <c:v>Avg. Discount</c:v>
                </c:pt>
              </c:strCache>
            </c:strRef>
          </c:tx>
          <c:spPr>
            <a:gradFill>
              <a:gsLst>
                <a:gs pos="0">
                  <a:schemeClr val="tx2">
                    <a:lumMod val="20000"/>
                    <a:lumOff val="80000"/>
                    <a:alpha val="0"/>
                  </a:schemeClr>
                </a:gs>
                <a:gs pos="24000">
                  <a:srgbClr val="C6D9F1">
                    <a:alpha val="30000"/>
                  </a:srgbClr>
                </a:gs>
                <a:gs pos="50000">
                  <a:schemeClr val="tx2">
                    <a:lumMod val="20000"/>
                    <a:lumOff val="80000"/>
                  </a:schemeClr>
                </a:gs>
                <a:gs pos="100000">
                  <a:schemeClr val="accent1">
                    <a:lumMod val="40000"/>
                    <a:lumOff val="6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Questions!$Q$17:$Q$21</c:f>
              <c:strCache>
                <c:ptCount val="4"/>
                <c:pt idx="0">
                  <c:v>FREESHIP</c:v>
                </c:pt>
                <c:pt idx="1">
                  <c:v>None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Questions!$R$17:$R$21</c:f>
              <c:numCache>
                <c:formatCode>0.00</c:formatCode>
                <c:ptCount val="4"/>
                <c:pt idx="0">
                  <c:v>6.897374701670661E-2</c:v>
                </c:pt>
                <c:pt idx="1">
                  <c:v>7.4594594594594721E-2</c:v>
                </c:pt>
                <c:pt idx="2">
                  <c:v>7.6479289940828518E-2</c:v>
                </c:pt>
                <c:pt idx="3">
                  <c:v>7.332439678284193E-2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E-475C-8A01-3388A7D58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114175"/>
        <c:axId val="1242105055"/>
      </c:barChart>
      <c:lineChart>
        <c:grouping val="standard"/>
        <c:varyColors val="0"/>
        <c:ser>
          <c:idx val="1"/>
          <c:order val="1"/>
          <c:tx>
            <c:strRef>
              <c:f>Questions!$S$16</c:f>
              <c:strCache>
                <c:ptCount val="1"/>
                <c:pt idx="0">
                  <c:v>Avg. Order Quantity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Questions!$Q$17:$Q$21</c:f>
              <c:strCache>
                <c:ptCount val="4"/>
                <c:pt idx="0">
                  <c:v>FREESHIP</c:v>
                </c:pt>
                <c:pt idx="1">
                  <c:v>None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Questions!$S$17:$S$21</c:f>
              <c:numCache>
                <c:formatCode>0.00</c:formatCode>
                <c:ptCount val="4"/>
                <c:pt idx="0">
                  <c:v>10.494033412887829</c:v>
                </c:pt>
                <c:pt idx="1">
                  <c:v>10.235135135135135</c:v>
                </c:pt>
                <c:pt idx="2">
                  <c:v>10.665680473372781</c:v>
                </c:pt>
                <c:pt idx="3">
                  <c:v>10.260053619302949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DE-475C-8A01-3388A7D58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123295"/>
        <c:axId val="1242122335"/>
      </c:lineChart>
      <c:catAx>
        <c:axId val="124212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122335"/>
        <c:crosses val="autoZero"/>
        <c:auto val="1"/>
        <c:lblAlgn val="ctr"/>
        <c:lblOffset val="100"/>
        <c:noMultiLvlLbl val="0"/>
      </c:catAx>
      <c:valAx>
        <c:axId val="124212233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123295"/>
        <c:crosses val="autoZero"/>
        <c:crossBetween val="between"/>
      </c:valAx>
      <c:valAx>
        <c:axId val="1242105055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114175"/>
        <c:crosses val="max"/>
        <c:crossBetween val="between"/>
      </c:valAx>
      <c:catAx>
        <c:axId val="1242114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2105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E7-42E0-A009-3E4E6A460DC1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E7-42E0-A009-3E4E6A460DC1}"/>
              </c:ext>
            </c:extLst>
          </c:dPt>
          <c:val>
            <c:numRef>
              <c:f>Questions!$J$48:$J$49</c:f>
              <c:numCache>
                <c:formatCode>0.00%</c:formatCode>
                <c:ptCount val="2"/>
                <c:pt idx="0">
                  <c:v>0.45400000000000001</c:v>
                </c:pt>
                <c:pt idx="1">
                  <c:v>0.54600000000000004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E7-42E0-A009-3E4E6A460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1B-492A-B156-BEB6D085D122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1B-492A-B156-BEB6D085D122}"/>
              </c:ext>
            </c:extLst>
          </c:dPt>
          <c:val>
            <c:numRef>
              <c:f>Questions!$L$48:$L$49</c:f>
              <c:numCache>
                <c:formatCode>0.00%</c:formatCode>
                <c:ptCount val="2"/>
                <c:pt idx="0">
                  <c:v>0.248</c:v>
                </c:pt>
                <c:pt idx="1">
                  <c:v>0.752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1B-492A-B156-BEB6D085D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D5-4A67-BB9D-76EB6B1CC40D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D5-4A67-BB9D-76EB6B1CC40D}"/>
              </c:ext>
            </c:extLst>
          </c:dPt>
          <c:val>
            <c:numRef>
              <c:f>Questions!$J$48:$J$49</c:f>
              <c:numCache>
                <c:formatCode>0.00%</c:formatCode>
                <c:ptCount val="2"/>
                <c:pt idx="0">
                  <c:v>0.45400000000000001</c:v>
                </c:pt>
                <c:pt idx="1">
                  <c:v>0.54600000000000004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D5-4A67-BB9D-76EB6B1CC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52-4DE3-A2DA-2A9098F4DE23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52-4DE3-A2DA-2A9098F4DE23}"/>
              </c:ext>
            </c:extLst>
          </c:dPt>
          <c:val>
            <c:numRef>
              <c:f>Questions!$L$48:$L$49</c:f>
              <c:numCache>
                <c:formatCode>0.00%</c:formatCode>
                <c:ptCount val="2"/>
                <c:pt idx="0">
                  <c:v>0.248</c:v>
                </c:pt>
                <c:pt idx="1">
                  <c:v>0.752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52-4DE3-A2DA-2A9098F4D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Data.xlsx]Questions!PivotTable12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bg1">
                  <a:alpha val="20000"/>
                </a:schemeClr>
              </a:gs>
              <a:gs pos="50000">
                <a:schemeClr val="accent5">
                  <a:lumMod val="40000"/>
                  <a:lumOff val="60000"/>
                </a:schemeClr>
              </a:gs>
              <a:gs pos="100000">
                <a:schemeClr val="accent5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bg1">
                  <a:alpha val="20000"/>
                </a:schemeClr>
              </a:gs>
              <a:gs pos="50000">
                <a:schemeClr val="tx2">
                  <a:lumMod val="20000"/>
                  <a:lumOff val="80000"/>
                  <a:alpha val="42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Questions!$R$28</c:f>
              <c:strCache>
                <c:ptCount val="1"/>
                <c:pt idx="0">
                  <c:v>Avg. Delivery Days</c:v>
                </c:pt>
              </c:strCache>
            </c:strRef>
          </c:tx>
          <c:spPr>
            <a:gradFill>
              <a:gsLst>
                <a:gs pos="0">
                  <a:schemeClr val="bg1">
                    <a:alpha val="20000"/>
                  </a:schemeClr>
                </a:gs>
                <a:gs pos="50000">
                  <a:schemeClr val="accent5">
                    <a:lumMod val="40000"/>
                    <a:lumOff val="60000"/>
                  </a:schemeClr>
                </a:gs>
                <a:gs pos="100000">
                  <a:schemeClr val="accent5">
                    <a:lumMod val="40000"/>
                    <a:lumOff val="6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Questions!$Q$29:$Q$34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Questions!$R$29:$R$34</c:f>
              <c:numCache>
                <c:formatCode>0.00</c:formatCode>
                <c:ptCount val="5"/>
                <c:pt idx="0">
                  <c:v>5.8770764119601333</c:v>
                </c:pt>
                <c:pt idx="1">
                  <c:v>5.996784565916399</c:v>
                </c:pt>
                <c:pt idx="2">
                  <c:v>6.3851132686084142</c:v>
                </c:pt>
                <c:pt idx="3">
                  <c:v>5.9322033898305087</c:v>
                </c:pt>
                <c:pt idx="4">
                  <c:v>6.01056338028169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1-4997-BEBB-02A46E14B79A}"/>
            </c:ext>
          </c:extLst>
        </c:ser>
        <c:ser>
          <c:idx val="1"/>
          <c:order val="1"/>
          <c:tx>
            <c:strRef>
              <c:f>Questions!$S$28</c:f>
              <c:strCache>
                <c:ptCount val="1"/>
                <c:pt idx="0">
                  <c:v>Max of Delivery Days</c:v>
                </c:pt>
              </c:strCache>
            </c:strRef>
          </c:tx>
          <c:spPr>
            <a:gradFill>
              <a:gsLst>
                <a:gs pos="0">
                  <a:schemeClr val="bg1">
                    <a:alpha val="20000"/>
                  </a:schemeClr>
                </a:gs>
                <a:gs pos="50000">
                  <a:schemeClr val="tx2">
                    <a:lumMod val="20000"/>
                    <a:lumOff val="80000"/>
                    <a:alpha val="42000"/>
                  </a:schemeClr>
                </a:gs>
                <a:gs pos="100000">
                  <a:schemeClr val="tx2">
                    <a:lumMod val="20000"/>
                    <a:lumOff val="8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Questions!$Q$29:$Q$34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Questions!$S$29:$S$34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1-4997-BEBB-02A46E14B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8121583"/>
        <c:axId val="2008137423"/>
      </c:barChart>
      <c:lineChart>
        <c:grouping val="standard"/>
        <c:varyColors val="0"/>
        <c:ser>
          <c:idx val="2"/>
          <c:order val="2"/>
          <c:tx>
            <c:strRef>
              <c:f>Questions!$T$28</c:f>
              <c:strCache>
                <c:ptCount val="1"/>
                <c:pt idx="0">
                  <c:v>Total Orders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Questions!$Q$29:$Q$34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Questions!$T$29:$T$34</c:f>
              <c:numCache>
                <c:formatCode>General</c:formatCode>
                <c:ptCount val="5"/>
                <c:pt idx="0">
                  <c:v>301</c:v>
                </c:pt>
                <c:pt idx="1">
                  <c:v>311</c:v>
                </c:pt>
                <c:pt idx="2">
                  <c:v>309</c:v>
                </c:pt>
                <c:pt idx="3">
                  <c:v>295</c:v>
                </c:pt>
                <c:pt idx="4">
                  <c:v>284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441-4997-BEBB-02A46E14B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4435951"/>
        <c:axId val="1934425871"/>
      </c:lineChart>
      <c:catAx>
        <c:axId val="200812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137423"/>
        <c:crosses val="autoZero"/>
        <c:auto val="1"/>
        <c:lblAlgn val="ctr"/>
        <c:lblOffset val="100"/>
        <c:noMultiLvlLbl val="0"/>
      </c:catAx>
      <c:valAx>
        <c:axId val="200813742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121583"/>
        <c:crosses val="autoZero"/>
        <c:crossBetween val="between"/>
      </c:valAx>
      <c:valAx>
        <c:axId val="19344258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435951"/>
        <c:crosses val="max"/>
        <c:crossBetween val="between"/>
      </c:valAx>
      <c:catAx>
        <c:axId val="19344359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4425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Data.xlsx]Questions!PivotTable15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bg1">
                  <a:alpha val="20000"/>
                </a:schemeClr>
              </a:gs>
              <a:gs pos="50000">
                <a:schemeClr val="tx2">
                  <a:lumMod val="20000"/>
                  <a:lumOff val="80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bg1">
                  <a:alpha val="20000"/>
                </a:schemeClr>
              </a:gs>
              <a:gs pos="50000">
                <a:schemeClr val="accent5">
                  <a:lumMod val="40000"/>
                  <a:lumOff val="60000"/>
                </a:schemeClr>
              </a:gs>
              <a:gs pos="100000">
                <a:schemeClr val="accent5">
                  <a:lumMod val="40000"/>
                  <a:lumOff val="60000"/>
                </a:scheme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Questions!$M$28</c:f>
              <c:strCache>
                <c:ptCount val="1"/>
                <c:pt idx="0">
                  <c:v>Total Orders</c:v>
                </c:pt>
              </c:strCache>
            </c:strRef>
          </c:tx>
          <c:spPr>
            <a:gradFill>
              <a:gsLst>
                <a:gs pos="0">
                  <a:schemeClr val="bg1">
                    <a:alpha val="20000"/>
                  </a:schemeClr>
                </a:gs>
                <a:gs pos="50000">
                  <a:schemeClr val="tx2">
                    <a:lumMod val="20000"/>
                    <a:lumOff val="80000"/>
                  </a:schemeClr>
                </a:gs>
                <a:gs pos="100000">
                  <a:schemeClr val="tx2">
                    <a:lumMod val="20000"/>
                    <a:lumOff val="8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cat>
            <c:strRef>
              <c:f>Questions!$L$29:$L$34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Questions!$M$29:$M$34</c:f>
              <c:numCache>
                <c:formatCode>0</c:formatCode>
                <c:ptCount val="5"/>
                <c:pt idx="0">
                  <c:v>301</c:v>
                </c:pt>
                <c:pt idx="1">
                  <c:v>311</c:v>
                </c:pt>
                <c:pt idx="2">
                  <c:v>309</c:v>
                </c:pt>
                <c:pt idx="3">
                  <c:v>295</c:v>
                </c:pt>
                <c:pt idx="4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F-4032-897A-2C1987E01DB7}"/>
            </c:ext>
          </c:extLst>
        </c:ser>
        <c:ser>
          <c:idx val="1"/>
          <c:order val="1"/>
          <c:tx>
            <c:strRef>
              <c:f>Questions!$N$28</c:f>
              <c:strCache>
                <c:ptCount val="1"/>
                <c:pt idx="0">
                  <c:v>Delayed Orders</c:v>
                </c:pt>
              </c:strCache>
            </c:strRef>
          </c:tx>
          <c:spPr>
            <a:gradFill>
              <a:gsLst>
                <a:gs pos="0">
                  <a:schemeClr val="bg1">
                    <a:alpha val="20000"/>
                  </a:schemeClr>
                </a:gs>
                <a:gs pos="50000">
                  <a:schemeClr val="accent5">
                    <a:lumMod val="40000"/>
                    <a:lumOff val="60000"/>
                  </a:schemeClr>
                </a:gs>
                <a:gs pos="100000">
                  <a:schemeClr val="accent5">
                    <a:lumMod val="40000"/>
                    <a:lumOff val="6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cat>
            <c:strRef>
              <c:f>Questions!$L$29:$L$34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Questions!$N$29:$N$34</c:f>
              <c:numCache>
                <c:formatCode>0</c:formatCode>
                <c:ptCount val="5"/>
                <c:pt idx="0">
                  <c:v>128</c:v>
                </c:pt>
                <c:pt idx="1">
                  <c:v>138</c:v>
                </c:pt>
                <c:pt idx="2">
                  <c:v>163</c:v>
                </c:pt>
                <c:pt idx="3">
                  <c:v>130</c:v>
                </c:pt>
                <c:pt idx="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F-4032-897A-2C1987E01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3188271"/>
        <c:axId val="1933187311"/>
      </c:barChart>
      <c:lineChart>
        <c:grouping val="standard"/>
        <c:varyColors val="0"/>
        <c:ser>
          <c:idx val="2"/>
          <c:order val="2"/>
          <c:tx>
            <c:strRef>
              <c:f>Questions!$O$28</c:f>
              <c:strCache>
                <c:ptCount val="1"/>
                <c:pt idx="0">
                  <c:v>Delay Rate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Questions!$L$29:$L$34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Questions!$O$29:$O$34</c:f>
              <c:numCache>
                <c:formatCode>0.00%</c:formatCode>
                <c:ptCount val="5"/>
                <c:pt idx="0">
                  <c:v>0.42524916943521596</c:v>
                </c:pt>
                <c:pt idx="1">
                  <c:v>0.4437299035369775</c:v>
                </c:pt>
                <c:pt idx="2">
                  <c:v>0.52750809061488668</c:v>
                </c:pt>
                <c:pt idx="3">
                  <c:v>0.44067796610169491</c:v>
                </c:pt>
                <c:pt idx="4">
                  <c:v>0.42957746478873238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1CF-4032-897A-2C1987E01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166671"/>
        <c:axId val="1933163791"/>
      </c:lineChart>
      <c:catAx>
        <c:axId val="193318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87311"/>
        <c:crosses val="autoZero"/>
        <c:auto val="1"/>
        <c:lblAlgn val="ctr"/>
        <c:lblOffset val="100"/>
        <c:noMultiLvlLbl val="0"/>
      </c:catAx>
      <c:valAx>
        <c:axId val="193318731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88271"/>
        <c:crosses val="autoZero"/>
        <c:crossBetween val="between"/>
      </c:valAx>
      <c:valAx>
        <c:axId val="193316379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66671"/>
        <c:crosses val="max"/>
        <c:crossBetween val="between"/>
      </c:valAx>
      <c:catAx>
        <c:axId val="1933166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1637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Data.xlsx]Questions!PivotTable16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bg1">
                  <a:alpha val="20000"/>
                </a:schemeClr>
              </a:gs>
              <a:gs pos="50000">
                <a:schemeClr val="tx2">
                  <a:lumMod val="20000"/>
                  <a:lumOff val="80000"/>
                </a:schemeClr>
              </a:gs>
              <a:gs pos="100000">
                <a:schemeClr val="tx2">
                  <a:lumMod val="20000"/>
                  <a:lumOff val="80000"/>
                </a:scheme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bg1">
                  <a:alpha val="20000"/>
                </a:schemeClr>
              </a:gs>
              <a:gs pos="50000">
                <a:schemeClr val="accent5">
                  <a:lumMod val="60000"/>
                  <a:lumOff val="40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Questions!$M$36</c:f>
              <c:strCache>
                <c:ptCount val="1"/>
                <c:pt idx="0">
                  <c:v>Total Orders</c:v>
                </c:pt>
              </c:strCache>
            </c:strRef>
          </c:tx>
          <c:spPr>
            <a:gradFill>
              <a:gsLst>
                <a:gs pos="0">
                  <a:schemeClr val="bg1">
                    <a:alpha val="20000"/>
                  </a:schemeClr>
                </a:gs>
                <a:gs pos="50000">
                  <a:schemeClr val="tx2">
                    <a:lumMod val="20000"/>
                    <a:lumOff val="80000"/>
                  </a:schemeClr>
                </a:gs>
                <a:gs pos="100000">
                  <a:schemeClr val="tx2">
                    <a:lumMod val="20000"/>
                    <a:lumOff val="8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cat>
            <c:strRef>
              <c:f>Questions!$L$37:$L$42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Questions!$M$37:$M$42</c:f>
              <c:numCache>
                <c:formatCode>0</c:formatCode>
                <c:ptCount val="5"/>
                <c:pt idx="0">
                  <c:v>301</c:v>
                </c:pt>
                <c:pt idx="1">
                  <c:v>311</c:v>
                </c:pt>
                <c:pt idx="2">
                  <c:v>309</c:v>
                </c:pt>
                <c:pt idx="3">
                  <c:v>295</c:v>
                </c:pt>
                <c:pt idx="4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3-4220-BF42-13F96FC7C442}"/>
            </c:ext>
          </c:extLst>
        </c:ser>
        <c:ser>
          <c:idx val="1"/>
          <c:order val="1"/>
          <c:tx>
            <c:strRef>
              <c:f>Questions!$N$36</c:f>
              <c:strCache>
                <c:ptCount val="1"/>
                <c:pt idx="0">
                  <c:v>Returned Orders</c:v>
                </c:pt>
              </c:strCache>
            </c:strRef>
          </c:tx>
          <c:spPr>
            <a:gradFill>
              <a:gsLst>
                <a:gs pos="0">
                  <a:schemeClr val="bg1">
                    <a:alpha val="20000"/>
                  </a:schemeClr>
                </a:gs>
                <a:gs pos="50000">
                  <a:schemeClr val="accent5">
                    <a:lumMod val="60000"/>
                    <a:lumOff val="40000"/>
                  </a:schemeClr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cat>
            <c:strRef>
              <c:f>Questions!$L$37:$L$42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Questions!$N$37:$N$42</c:f>
              <c:numCache>
                <c:formatCode>0</c:formatCode>
                <c:ptCount val="5"/>
                <c:pt idx="0">
                  <c:v>70</c:v>
                </c:pt>
                <c:pt idx="1">
                  <c:v>81</c:v>
                </c:pt>
                <c:pt idx="2">
                  <c:v>70</c:v>
                </c:pt>
                <c:pt idx="3">
                  <c:v>77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3-4220-BF42-13F96FC7C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8126863"/>
        <c:axId val="2008152303"/>
      </c:barChart>
      <c:lineChart>
        <c:grouping val="standard"/>
        <c:varyColors val="0"/>
        <c:ser>
          <c:idx val="2"/>
          <c:order val="2"/>
          <c:tx>
            <c:strRef>
              <c:f>Questions!$O$36</c:f>
              <c:strCache>
                <c:ptCount val="1"/>
                <c:pt idx="0">
                  <c:v>Return Rate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Questions!$L$37:$L$42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Questions!$O$37:$O$42</c:f>
              <c:numCache>
                <c:formatCode>0.00%</c:formatCode>
                <c:ptCount val="5"/>
                <c:pt idx="0">
                  <c:v>0.23255813953488372</c:v>
                </c:pt>
                <c:pt idx="1">
                  <c:v>0.26045016077170419</c:v>
                </c:pt>
                <c:pt idx="2">
                  <c:v>0.22653721682847897</c:v>
                </c:pt>
                <c:pt idx="3">
                  <c:v>0.26101694915254237</c:v>
                </c:pt>
                <c:pt idx="4">
                  <c:v>0.26056338028169013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3C3-4220-BF42-13F96FC7C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150383"/>
        <c:axId val="2008145583"/>
      </c:lineChart>
      <c:catAx>
        <c:axId val="200812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152303"/>
        <c:crosses val="autoZero"/>
        <c:auto val="1"/>
        <c:lblAlgn val="ctr"/>
        <c:lblOffset val="100"/>
        <c:noMultiLvlLbl val="0"/>
      </c:catAx>
      <c:valAx>
        <c:axId val="200815230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126863"/>
        <c:crosses val="autoZero"/>
        <c:crossBetween val="between"/>
      </c:valAx>
      <c:valAx>
        <c:axId val="200814558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150383"/>
        <c:crosses val="max"/>
        <c:crossBetween val="between"/>
      </c:valAx>
      <c:catAx>
        <c:axId val="20081503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8145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Data.xlsx]Questions!PivotTable9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tx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Questions!$R$36</c:f>
              <c:strCache>
                <c:ptCount val="1"/>
                <c:pt idx="0">
                  <c:v>Return Rate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Questions!$Q$37:$Q$42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Questions!$R$37:$R$42</c:f>
              <c:numCache>
                <c:formatCode>0.00%</c:formatCode>
                <c:ptCount val="5"/>
                <c:pt idx="0">
                  <c:v>0.23255813953488372</c:v>
                </c:pt>
                <c:pt idx="1">
                  <c:v>0.26045016077170419</c:v>
                </c:pt>
                <c:pt idx="2">
                  <c:v>0.22653721682847897</c:v>
                </c:pt>
                <c:pt idx="3">
                  <c:v>0.26101694915254237</c:v>
                </c:pt>
                <c:pt idx="4">
                  <c:v>0.26056338028169013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9-4CEB-818F-D5A468694F83}"/>
            </c:ext>
          </c:extLst>
        </c:ser>
        <c:ser>
          <c:idx val="1"/>
          <c:order val="1"/>
          <c:tx>
            <c:strRef>
              <c:f>Questions!$S$36</c:f>
              <c:strCache>
                <c:ptCount val="1"/>
                <c:pt idx="0">
                  <c:v>Delay Rate</c:v>
                </c:pt>
              </c:strCache>
            </c:strRef>
          </c:tx>
          <c:spPr>
            <a:ln w="28575" cap="rnd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Questions!$Q$37:$Q$42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Questions!$S$37:$S$42</c:f>
              <c:numCache>
                <c:formatCode>0.00%</c:formatCode>
                <c:ptCount val="5"/>
                <c:pt idx="0">
                  <c:v>0.42524916943521596</c:v>
                </c:pt>
                <c:pt idx="1">
                  <c:v>0.4437299035369775</c:v>
                </c:pt>
                <c:pt idx="2">
                  <c:v>0.52750809061488668</c:v>
                </c:pt>
                <c:pt idx="3">
                  <c:v>0.44067796610169491</c:v>
                </c:pt>
                <c:pt idx="4">
                  <c:v>0.42957746478873238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69-4CEB-818F-D5A468694F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34405711"/>
        <c:axId val="1934394671"/>
      </c:lineChart>
      <c:catAx>
        <c:axId val="193440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394671"/>
        <c:crosses val="autoZero"/>
        <c:auto val="1"/>
        <c:lblAlgn val="ctr"/>
        <c:lblOffset val="100"/>
        <c:noMultiLvlLbl val="0"/>
      </c:catAx>
      <c:valAx>
        <c:axId val="193439467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3440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12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5.png"/><Relationship Id="rId4" Type="http://schemas.openxmlformats.org/officeDocument/2006/relationships/chart" Target="../charts/chart4.xml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10.xml"/><Relationship Id="rId7" Type="http://schemas.openxmlformats.org/officeDocument/2006/relationships/image" Target="../media/image3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2.png"/><Relationship Id="rId11" Type="http://schemas.openxmlformats.org/officeDocument/2006/relationships/chart" Target="../charts/chart13.xml"/><Relationship Id="rId5" Type="http://schemas.openxmlformats.org/officeDocument/2006/relationships/image" Target="../media/image1.png"/><Relationship Id="rId10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image" Target="../media/image3.png"/><Relationship Id="rId7" Type="http://schemas.openxmlformats.org/officeDocument/2006/relationships/chart" Target="../charts/chart1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image" Target="../media/image5.png"/><Relationship Id="rId10" Type="http://schemas.openxmlformats.org/officeDocument/2006/relationships/chart" Target="../charts/chart18.xml"/><Relationship Id="rId4" Type="http://schemas.openxmlformats.org/officeDocument/2006/relationships/image" Target="../media/image4.png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104773</xdr:colOff>
      <xdr:row>2</xdr:row>
      <xdr:rowOff>51705</xdr:rowOff>
    </xdr:from>
    <xdr:to>
      <xdr:col>31</xdr:col>
      <xdr:colOff>190500</xdr:colOff>
      <xdr:row>63</xdr:row>
      <xdr:rowOff>142875</xdr:rowOff>
    </xdr:to>
    <xdr:grpSp>
      <xdr:nvGrpSpPr>
        <xdr:cNvPr id="101" name="Group 100">
          <a:extLst>
            <a:ext uri="{FF2B5EF4-FFF2-40B4-BE49-F238E27FC236}">
              <a16:creationId xmlns:a16="http://schemas.microsoft.com/office/drawing/2014/main" id="{D52BAEC8-9178-7BFD-ACA5-D4C3FBD08F06}"/>
            </a:ext>
          </a:extLst>
        </xdr:cNvPr>
        <xdr:cNvGrpSpPr/>
      </xdr:nvGrpSpPr>
      <xdr:grpSpPr>
        <a:xfrm>
          <a:off x="3762373" y="432705"/>
          <a:ext cx="15325727" cy="11711670"/>
          <a:chOff x="3762373" y="432705"/>
          <a:chExt cx="15325727" cy="1171167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55FC228A-10F2-3F25-3206-4C96C1971EDB}"/>
              </a:ext>
            </a:extLst>
          </xdr:cNvPr>
          <xdr:cNvSpPr/>
        </xdr:nvSpPr>
        <xdr:spPr>
          <a:xfrm>
            <a:off x="3762373" y="432705"/>
            <a:ext cx="15325727" cy="11711670"/>
          </a:xfrm>
          <a:prstGeom prst="rect">
            <a:avLst/>
          </a:prstGeom>
          <a:solidFill>
            <a:schemeClr val="tx2">
              <a:lumMod val="75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4535AA2F-018A-D752-9ECA-C702FD9BFD33}"/>
              </a:ext>
            </a:extLst>
          </xdr:cNvPr>
          <xdr:cNvSpPr/>
        </xdr:nvSpPr>
        <xdr:spPr>
          <a:xfrm>
            <a:off x="4000500" y="3619498"/>
            <a:ext cx="14820900" cy="8382001"/>
          </a:xfrm>
          <a:prstGeom prst="roundRect">
            <a:avLst>
              <a:gd name="adj" fmla="val 2985"/>
            </a:avLst>
          </a:prstGeom>
          <a:solidFill>
            <a:schemeClr val="bg2">
              <a:lumMod val="90000"/>
              <a:alpha val="9000"/>
            </a:schemeClr>
          </a:solidFill>
          <a:ln>
            <a:noFill/>
          </a:ln>
          <a:effectLst>
            <a:softEdge rad="3175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1EF74D02-B229-FC60-6710-A697C48089F9}"/>
              </a:ext>
            </a:extLst>
          </xdr:cNvPr>
          <xdr:cNvSpPr/>
        </xdr:nvSpPr>
        <xdr:spPr>
          <a:xfrm>
            <a:off x="4035137" y="647699"/>
            <a:ext cx="14786263" cy="2852737"/>
          </a:xfrm>
          <a:prstGeom prst="rect">
            <a:avLst/>
          </a:prstGeom>
          <a:gradFill flip="none" rotWithShape="1">
            <a:gsLst>
              <a:gs pos="0">
                <a:schemeClr val="tx2">
                  <a:shade val="30000"/>
                  <a:satMod val="115000"/>
                </a:schemeClr>
              </a:gs>
              <a:gs pos="50000">
                <a:schemeClr val="tx2">
                  <a:shade val="67500"/>
                  <a:satMod val="115000"/>
                </a:schemeClr>
              </a:gs>
              <a:gs pos="100000">
                <a:schemeClr val="tx2">
                  <a:shade val="100000"/>
                  <a:satMod val="115000"/>
                </a:schemeClr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5BB092A4-D963-3CC0-3F4C-C9287DD3B21A}"/>
              </a:ext>
            </a:extLst>
          </xdr:cNvPr>
          <xdr:cNvSpPr/>
        </xdr:nvSpPr>
        <xdr:spPr>
          <a:xfrm flipV="1">
            <a:off x="4100752" y="1302305"/>
            <a:ext cx="14655033" cy="45719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E07B257A-819B-9A2D-9836-7E97D7E7C5EF}"/>
              </a:ext>
            </a:extLst>
          </xdr:cNvPr>
          <xdr:cNvSpPr txBox="1"/>
        </xdr:nvSpPr>
        <xdr:spPr>
          <a:xfrm>
            <a:off x="4440384" y="1749136"/>
            <a:ext cx="8551718" cy="8659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000" b="1">
                <a:solidFill>
                  <a:schemeClr val="bg1"/>
                </a:solidFill>
                <a:latin typeface="Satoshi Black" pitchFamily="50" charset="0"/>
                <a:cs typeface="Poppins Black" panose="00000A00000000000000" pitchFamily="2" charset="0"/>
              </a:rPr>
              <a:t>REGIONAL SALES ANALYSIS: </a:t>
            </a:r>
          </a:p>
          <a:p>
            <a:r>
              <a:rPr lang="en-US" sz="2000" b="1">
                <a:solidFill>
                  <a:schemeClr val="bg1"/>
                </a:solidFill>
                <a:latin typeface="Satoshi Black" pitchFamily="50" charset="0"/>
                <a:cs typeface="Poppins Black" panose="00000A00000000000000" pitchFamily="2" charset="0"/>
              </a:rPr>
              <a:t>Revenue by Region and Customer Type</a:t>
            </a: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C821875B-4162-2056-2A40-8FF6D8F9ABC7}"/>
              </a:ext>
            </a:extLst>
          </xdr:cNvPr>
          <xdr:cNvSpPr/>
        </xdr:nvSpPr>
        <xdr:spPr>
          <a:xfrm>
            <a:off x="4319154" y="4738253"/>
            <a:ext cx="4125191" cy="7096559"/>
          </a:xfrm>
          <a:prstGeom prst="rect">
            <a:avLst/>
          </a:prstGeom>
          <a:solidFill>
            <a:schemeClr val="bg1">
              <a:alpha val="14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3139B21E-4875-4D3B-8591-39D1BBE736C6}"/>
              </a:ext>
            </a:extLst>
          </xdr:cNvPr>
          <xdr:cNvSpPr/>
        </xdr:nvSpPr>
        <xdr:spPr>
          <a:xfrm>
            <a:off x="8582892" y="4738254"/>
            <a:ext cx="4852416" cy="3238933"/>
          </a:xfrm>
          <a:prstGeom prst="rect">
            <a:avLst/>
          </a:prstGeom>
          <a:solidFill>
            <a:schemeClr val="bg1">
              <a:alpha val="14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AD6F96C7-4C7E-4D45-B546-CA2070B5167C}"/>
              </a:ext>
            </a:extLst>
          </xdr:cNvPr>
          <xdr:cNvSpPr/>
        </xdr:nvSpPr>
        <xdr:spPr>
          <a:xfrm>
            <a:off x="8596746" y="8072437"/>
            <a:ext cx="9922575" cy="3738563"/>
          </a:xfrm>
          <a:prstGeom prst="rect">
            <a:avLst/>
          </a:prstGeom>
          <a:solidFill>
            <a:schemeClr val="bg1">
              <a:alpha val="14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D942E228-0CC3-3A33-62A6-CC803149A9FF}"/>
              </a:ext>
            </a:extLst>
          </xdr:cNvPr>
          <xdr:cNvSpPr/>
        </xdr:nvSpPr>
        <xdr:spPr>
          <a:xfrm>
            <a:off x="13547070" y="4738254"/>
            <a:ext cx="4964475" cy="3238933"/>
          </a:xfrm>
          <a:prstGeom prst="rect">
            <a:avLst/>
          </a:prstGeom>
          <a:solidFill>
            <a:schemeClr val="bg1">
              <a:alpha val="14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75406E8B-F876-4AD0-8B51-5FED6E53445F}"/>
              </a:ext>
            </a:extLst>
          </xdr:cNvPr>
          <xdr:cNvGraphicFramePr>
            <a:graphicFrameLocks/>
          </xdr:cNvGraphicFramePr>
        </xdr:nvGraphicFramePr>
        <xdr:xfrm>
          <a:off x="4604904" y="4932156"/>
          <a:ext cx="3605646" cy="275928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8" name="Chart 27">
            <a:extLst>
              <a:ext uri="{FF2B5EF4-FFF2-40B4-BE49-F238E27FC236}">
                <a16:creationId xmlns:a16="http://schemas.microsoft.com/office/drawing/2014/main" id="{9983DC62-3FEE-44C3-9EBE-31757F80BAC7}"/>
              </a:ext>
            </a:extLst>
          </xdr:cNvPr>
          <xdr:cNvGraphicFramePr>
            <a:graphicFrameLocks/>
          </xdr:cNvGraphicFramePr>
        </xdr:nvGraphicFramePr>
        <xdr:xfrm>
          <a:off x="4440381" y="7977186"/>
          <a:ext cx="3882737" cy="37861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94542D04-A215-4B0F-87AD-DAAFEE13AA6F}"/>
              </a:ext>
            </a:extLst>
          </xdr:cNvPr>
          <xdr:cNvGraphicFramePr>
            <a:graphicFrameLocks/>
          </xdr:cNvGraphicFramePr>
        </xdr:nvGraphicFramePr>
        <xdr:xfrm>
          <a:off x="8709245" y="5035260"/>
          <a:ext cx="4596245" cy="28943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31" name="Chart 30">
            <a:extLst>
              <a:ext uri="{FF2B5EF4-FFF2-40B4-BE49-F238E27FC236}">
                <a16:creationId xmlns:a16="http://schemas.microsoft.com/office/drawing/2014/main" id="{F9A1101F-F117-4010-9A3F-3C8F02D44915}"/>
              </a:ext>
            </a:extLst>
          </xdr:cNvPr>
          <xdr:cNvGraphicFramePr>
            <a:graphicFrameLocks/>
          </xdr:cNvGraphicFramePr>
        </xdr:nvGraphicFramePr>
        <xdr:xfrm>
          <a:off x="8763432" y="8262938"/>
          <a:ext cx="9619818" cy="34099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418580AE-33DF-4711-8ADE-E3112F1A78EE}"/>
              </a:ext>
            </a:extLst>
          </xdr:cNvPr>
          <xdr:cNvGraphicFramePr>
            <a:graphicFrameLocks/>
          </xdr:cNvGraphicFramePr>
        </xdr:nvGraphicFramePr>
        <xdr:xfrm>
          <a:off x="13689941" y="5095875"/>
          <a:ext cx="4740931" cy="28380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4E6ACDD-9A7F-09C9-2F0A-F271BEB61734}"/>
              </a:ext>
            </a:extLst>
          </xdr:cNvPr>
          <xdr:cNvSpPr txBox="1"/>
        </xdr:nvSpPr>
        <xdr:spPr>
          <a:xfrm>
            <a:off x="4403272" y="4786004"/>
            <a:ext cx="1710046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="1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TOTAL</a:t>
            </a:r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 REVENUE BY CUSTOMER TYPE</a:t>
            </a:r>
            <a:endParaRPr lang="en-US" sz="1050" b="1">
              <a:solidFill>
                <a:schemeClr val="bg1"/>
              </a:soli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Satoshi" pitchFamily="50" charset="0"/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E0B1044-166E-27AB-5461-D38BF933DDC3}"/>
              </a:ext>
            </a:extLst>
          </xdr:cNvPr>
          <xdr:cNvSpPr txBox="1"/>
        </xdr:nvSpPr>
        <xdr:spPr>
          <a:xfrm>
            <a:off x="8670473" y="4803322"/>
            <a:ext cx="1710046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="1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TOTAL</a:t>
            </a:r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 REVENUE BY REGION</a:t>
            </a:r>
            <a:endParaRPr lang="en-US" sz="1050" b="1">
              <a:solidFill>
                <a:schemeClr val="bg1"/>
              </a:soli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Satoshi" pitchFamily="50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91B38BC-C571-0C0D-2DF1-AE85282A5508}"/>
              </a:ext>
            </a:extLst>
          </xdr:cNvPr>
          <xdr:cNvSpPr txBox="1"/>
        </xdr:nvSpPr>
        <xdr:spPr>
          <a:xfrm>
            <a:off x="13703136" y="4803322"/>
            <a:ext cx="1710046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="1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TOTAL</a:t>
            </a:r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 REVENUE BY PRODUCT</a:t>
            </a:r>
            <a:endParaRPr lang="en-US" sz="1050" b="1">
              <a:solidFill>
                <a:schemeClr val="bg1"/>
              </a:soli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Satoshi" pitchFamily="50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2B8A122-A0E0-25AD-647B-79EF7F4B562E}"/>
              </a:ext>
            </a:extLst>
          </xdr:cNvPr>
          <xdr:cNvSpPr txBox="1"/>
        </xdr:nvSpPr>
        <xdr:spPr>
          <a:xfrm>
            <a:off x="8826336" y="8212837"/>
            <a:ext cx="2735282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="1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TOTAL</a:t>
            </a:r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 REVENUE BY </a:t>
            </a:r>
          </a:p>
          <a:p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STORE LOCATION PER REGION</a:t>
            </a:r>
            <a:endParaRPr lang="en-US" sz="1050" b="1">
              <a:solidFill>
                <a:schemeClr val="bg1"/>
              </a:soli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Satoshi" pitchFamily="50" charset="0"/>
            </a:endParaRPr>
          </a:p>
        </xdr:txBody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195D200B-2EB9-BB57-0660-8EAE2A64E72B}"/>
              </a:ext>
            </a:extLst>
          </xdr:cNvPr>
          <xdr:cNvSpPr/>
        </xdr:nvSpPr>
        <xdr:spPr>
          <a:xfrm>
            <a:off x="16053682" y="3551723"/>
            <a:ext cx="1594466" cy="45719"/>
          </a:xfrm>
          <a:prstGeom prst="rect">
            <a:avLst/>
          </a:prstGeom>
          <a:solidFill>
            <a:schemeClr val="tx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93E7F19B-9120-4367-AB24-0071B49E3AC3}"/>
              </a:ext>
            </a:extLst>
          </xdr:cNvPr>
          <xdr:cNvGrpSpPr/>
        </xdr:nvGrpSpPr>
        <xdr:grpSpPr>
          <a:xfrm>
            <a:off x="4284519" y="2927388"/>
            <a:ext cx="14374030" cy="1614489"/>
            <a:chOff x="5621748" y="3167732"/>
            <a:chExt cx="14374029" cy="1614489"/>
          </a:xfrm>
        </xdr:grpSpPr>
        <xdr:sp macro="" textlink="">
          <xdr:nvSpPr>
            <xdr:cNvPr id="67" name="Rectangle: Diagonal Corners Rounded 66">
              <a:extLst>
                <a:ext uri="{FF2B5EF4-FFF2-40B4-BE49-F238E27FC236}">
                  <a16:creationId xmlns:a16="http://schemas.microsoft.com/office/drawing/2014/main" id="{BA8C123C-DE6A-8368-0682-0264BF6E98E8}"/>
                </a:ext>
              </a:extLst>
            </xdr:cNvPr>
            <xdr:cNvSpPr/>
          </xdr:nvSpPr>
          <xdr:spPr>
            <a:xfrm>
              <a:off x="14335962" y="3167732"/>
              <a:ext cx="2743962" cy="1614489"/>
            </a:xfrm>
            <a:prstGeom prst="round2Diag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8" name="Rectangle: Diagonal Corners Rounded 67">
              <a:extLst>
                <a:ext uri="{FF2B5EF4-FFF2-40B4-BE49-F238E27FC236}">
                  <a16:creationId xmlns:a16="http://schemas.microsoft.com/office/drawing/2014/main" id="{48FE0338-D75D-DC82-226F-EE70F90B127F}"/>
                </a:ext>
              </a:extLst>
            </xdr:cNvPr>
            <xdr:cNvSpPr/>
          </xdr:nvSpPr>
          <xdr:spPr>
            <a:xfrm>
              <a:off x="5621748" y="3167732"/>
              <a:ext cx="2772537" cy="1614489"/>
            </a:xfrm>
            <a:prstGeom prst="round2DiagRect">
              <a:avLst>
                <a:gd name="adj1" fmla="val 16667"/>
                <a:gd name="adj2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9" name="Rectangle: Diagonal Corners Rounded 68">
              <a:extLst>
                <a:ext uri="{FF2B5EF4-FFF2-40B4-BE49-F238E27FC236}">
                  <a16:creationId xmlns:a16="http://schemas.microsoft.com/office/drawing/2014/main" id="{6F0BBCD8-CB5E-32F4-517F-BB9F585D1347}"/>
                </a:ext>
              </a:extLst>
            </xdr:cNvPr>
            <xdr:cNvSpPr/>
          </xdr:nvSpPr>
          <xdr:spPr>
            <a:xfrm>
              <a:off x="8513792" y="3167732"/>
              <a:ext cx="2772537" cy="1614489"/>
            </a:xfrm>
            <a:prstGeom prst="round2Diag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0" name="Rectangle: Diagonal Corners Rounded 69">
              <a:extLst>
                <a:ext uri="{FF2B5EF4-FFF2-40B4-BE49-F238E27FC236}">
                  <a16:creationId xmlns:a16="http://schemas.microsoft.com/office/drawing/2014/main" id="{EFA95EC1-96FA-E7D3-7DC2-E16A9706585C}"/>
                </a:ext>
              </a:extLst>
            </xdr:cNvPr>
            <xdr:cNvSpPr/>
          </xdr:nvSpPr>
          <xdr:spPr>
            <a:xfrm>
              <a:off x="11429636" y="3167732"/>
              <a:ext cx="2743962" cy="1614489"/>
            </a:xfrm>
            <a:prstGeom prst="round2Diag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1" name="Rectangle: Diagonal Corners Rounded 70">
              <a:extLst>
                <a:ext uri="{FF2B5EF4-FFF2-40B4-BE49-F238E27FC236}">
                  <a16:creationId xmlns:a16="http://schemas.microsoft.com/office/drawing/2014/main" id="{9C976A0C-732F-396A-D50D-5D56A1767451}"/>
                </a:ext>
              </a:extLst>
            </xdr:cNvPr>
            <xdr:cNvSpPr/>
          </xdr:nvSpPr>
          <xdr:spPr>
            <a:xfrm>
              <a:off x="17223240" y="3167732"/>
              <a:ext cx="2772537" cy="1614489"/>
            </a:xfrm>
            <a:prstGeom prst="round2Diag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pic>
          <xdr:nvPicPr>
            <xdr:cNvPr id="72" name="Picture 71">
              <a:extLst>
                <a:ext uri="{FF2B5EF4-FFF2-40B4-BE49-F238E27FC236}">
                  <a16:creationId xmlns:a16="http://schemas.microsoft.com/office/drawing/2014/main" id="{34F991BC-40F9-B559-F4D4-4943E057687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749167" y="3344404"/>
              <a:ext cx="499454" cy="482214"/>
            </a:xfrm>
            <a:prstGeom prst="rect">
              <a:avLst/>
            </a:prstGeom>
          </xdr:spPr>
        </xdr:pic>
        <xdr:pic>
          <xdr:nvPicPr>
            <xdr:cNvPr id="73" name="Picture 72">
              <a:extLst>
                <a:ext uri="{FF2B5EF4-FFF2-40B4-BE49-F238E27FC236}">
                  <a16:creationId xmlns:a16="http://schemas.microsoft.com/office/drawing/2014/main" id="{460079B5-A564-8D91-73A4-A213B34879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581676" y="3346068"/>
              <a:ext cx="497239" cy="478886"/>
            </a:xfrm>
            <a:prstGeom prst="rect">
              <a:avLst/>
            </a:prstGeom>
          </xdr:spPr>
        </xdr:pic>
        <xdr:pic>
          <xdr:nvPicPr>
            <xdr:cNvPr id="74" name="Picture 73">
              <a:extLst>
                <a:ext uri="{FF2B5EF4-FFF2-40B4-BE49-F238E27FC236}">
                  <a16:creationId xmlns:a16="http://schemas.microsoft.com/office/drawing/2014/main" id="{A9CB2BBC-EE5F-54A4-0DA7-18B23B3260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9342653" y="3343195"/>
              <a:ext cx="503164" cy="484632"/>
            </a:xfrm>
            <a:prstGeom prst="rect">
              <a:avLst/>
            </a:prstGeom>
          </xdr:spPr>
        </xdr:pic>
        <xdr:pic>
          <xdr:nvPicPr>
            <xdr:cNvPr id="75" name="Picture 74">
              <a:extLst>
                <a:ext uri="{FF2B5EF4-FFF2-40B4-BE49-F238E27FC236}">
                  <a16:creationId xmlns:a16="http://schemas.microsoft.com/office/drawing/2014/main" id="{99E282B6-82E4-3FE5-2F5B-D5526CCE741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3548462" y="3343195"/>
              <a:ext cx="503165" cy="484632"/>
            </a:xfrm>
            <a:prstGeom prst="rect">
              <a:avLst/>
            </a:prstGeom>
          </xdr:spPr>
        </xdr:pic>
        <xdr:pic>
          <xdr:nvPicPr>
            <xdr:cNvPr id="76" name="Picture 75">
              <a:extLst>
                <a:ext uri="{FF2B5EF4-FFF2-40B4-BE49-F238E27FC236}">
                  <a16:creationId xmlns:a16="http://schemas.microsoft.com/office/drawing/2014/main" id="{3B09FD00-C1EF-1E3B-9B5D-17B47F3A33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427390" y="3343195"/>
              <a:ext cx="500734" cy="484632"/>
            </a:xfrm>
            <a:prstGeom prst="rect">
              <a:avLst/>
            </a:prstGeom>
          </xdr:spPr>
        </xdr:pic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558207EA-A1F6-F334-1CA7-C6C7EABC7DCB}"/>
                </a:ext>
              </a:extLst>
            </xdr:cNvPr>
            <xdr:cNvSpPr txBox="1"/>
          </xdr:nvSpPr>
          <xdr:spPr>
            <a:xfrm>
              <a:off x="5774873" y="3367767"/>
              <a:ext cx="1366155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TOTAL 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REVENUE</a:t>
              </a:r>
            </a:p>
          </xdr:txBody>
        </xdr:sp>
        <xdr:sp macro="" textlink="Questions!F48">
          <xdr:nvSpPr>
            <xdr:cNvPr id="78" name="TextBox 77">
              <a:extLst>
                <a:ext uri="{FF2B5EF4-FFF2-40B4-BE49-F238E27FC236}">
                  <a16:creationId xmlns:a16="http://schemas.microsoft.com/office/drawing/2014/main" id="{BEEE69FC-D61F-E3BF-0BE7-E9FE6BFEA78F}"/>
                </a:ext>
              </a:extLst>
            </xdr:cNvPr>
            <xdr:cNvSpPr txBox="1"/>
          </xdr:nvSpPr>
          <xdr:spPr>
            <a:xfrm>
              <a:off x="5774873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t>$</a:t>
              </a:r>
              <a:fld id="{3410FD46-23A4-4E3F-AFFD-8123C7D66C82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4379992.43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79" name="Rectangle 78">
              <a:extLst>
                <a:ext uri="{FF2B5EF4-FFF2-40B4-BE49-F238E27FC236}">
                  <a16:creationId xmlns:a16="http://schemas.microsoft.com/office/drawing/2014/main" id="{F1BCED83-72C5-2ECB-C08D-8A5384C84A59}"/>
                </a:ext>
              </a:extLst>
            </xdr:cNvPr>
            <xdr:cNvSpPr/>
          </xdr:nvSpPr>
          <xdr:spPr>
            <a:xfrm>
              <a:off x="5867400" y="3861955"/>
              <a:ext cx="1620982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8B2D0062-AA63-30A2-C32E-CF085A37DAE8}"/>
                </a:ext>
              </a:extLst>
            </xdr:cNvPr>
            <xdr:cNvSpPr txBox="1"/>
          </xdr:nvSpPr>
          <xdr:spPr>
            <a:xfrm>
              <a:off x="8632373" y="3367767"/>
              <a:ext cx="1366155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TOTAL 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ORDERS</a:t>
              </a:r>
            </a:p>
          </xdr:txBody>
        </xdr:sp>
        <xdr:sp macro="" textlink="Questions!G48">
          <xdr:nvSpPr>
            <xdr:cNvPr id="81" name="TextBox 80">
              <a:extLst>
                <a:ext uri="{FF2B5EF4-FFF2-40B4-BE49-F238E27FC236}">
                  <a16:creationId xmlns:a16="http://schemas.microsoft.com/office/drawing/2014/main" id="{CAAEC986-16A4-A119-BECB-8105C8D6553E}"/>
                </a:ext>
              </a:extLst>
            </xdr:cNvPr>
            <xdr:cNvSpPr txBox="1"/>
          </xdr:nvSpPr>
          <xdr:spPr>
            <a:xfrm>
              <a:off x="8632373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D05CF00C-A8AF-436E-A745-99F1D1C6925A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1500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82" name="Rectangle 81">
              <a:extLst>
                <a:ext uri="{FF2B5EF4-FFF2-40B4-BE49-F238E27FC236}">
                  <a16:creationId xmlns:a16="http://schemas.microsoft.com/office/drawing/2014/main" id="{C877085D-CC1C-CCE0-FA7B-BAC40256B3B5}"/>
                </a:ext>
              </a:extLst>
            </xdr:cNvPr>
            <xdr:cNvSpPr/>
          </xdr:nvSpPr>
          <xdr:spPr>
            <a:xfrm>
              <a:off x="8724900" y="3861955"/>
              <a:ext cx="1617518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0A2E5143-4A77-D2A4-7FA5-632E91EF9016}"/>
                </a:ext>
              </a:extLst>
            </xdr:cNvPr>
            <xdr:cNvSpPr txBox="1"/>
          </xdr:nvSpPr>
          <xdr:spPr>
            <a:xfrm>
              <a:off x="11628418" y="3367767"/>
              <a:ext cx="1658090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AVERAGE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DELIVERY DAYS</a:t>
              </a:r>
            </a:p>
          </xdr:txBody>
        </xdr:sp>
        <xdr:sp macro="" textlink="Questions!H48">
          <xdr:nvSpPr>
            <xdr:cNvPr id="84" name="TextBox 83">
              <a:extLst>
                <a:ext uri="{FF2B5EF4-FFF2-40B4-BE49-F238E27FC236}">
                  <a16:creationId xmlns:a16="http://schemas.microsoft.com/office/drawing/2014/main" id="{F5F9210A-1806-D4F5-7450-EC7AD58BBC2A}"/>
                </a:ext>
              </a:extLst>
            </xdr:cNvPr>
            <xdr:cNvSpPr txBox="1"/>
          </xdr:nvSpPr>
          <xdr:spPr>
            <a:xfrm>
              <a:off x="11628419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C59B0602-2C9A-48D9-BFCC-636B60600919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6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85" name="Rectangle 84">
              <a:extLst>
                <a:ext uri="{FF2B5EF4-FFF2-40B4-BE49-F238E27FC236}">
                  <a16:creationId xmlns:a16="http://schemas.microsoft.com/office/drawing/2014/main" id="{1D670AA0-B859-13EC-1FA4-30B8F46A78E4}"/>
                </a:ext>
              </a:extLst>
            </xdr:cNvPr>
            <xdr:cNvSpPr/>
          </xdr:nvSpPr>
          <xdr:spPr>
            <a:xfrm>
              <a:off x="11720946" y="3861955"/>
              <a:ext cx="1617518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A35BAFE2-A465-F490-E22C-C5C547077346}"/>
                </a:ext>
              </a:extLst>
            </xdr:cNvPr>
            <xdr:cNvSpPr txBox="1"/>
          </xdr:nvSpPr>
          <xdr:spPr>
            <a:xfrm>
              <a:off x="14556675" y="3367767"/>
              <a:ext cx="1655369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RETURNED 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ORDERS</a:t>
              </a:r>
            </a:p>
          </xdr:txBody>
        </xdr:sp>
        <xdr:sp macro="" textlink="Questions!K48">
          <xdr:nvSpPr>
            <xdr:cNvPr id="87" name="TextBox 86">
              <a:extLst>
                <a:ext uri="{FF2B5EF4-FFF2-40B4-BE49-F238E27FC236}">
                  <a16:creationId xmlns:a16="http://schemas.microsoft.com/office/drawing/2014/main" id="{9046D00B-5F2E-8CA6-C1CF-A7B43B5BD8C6}"/>
                </a:ext>
              </a:extLst>
            </xdr:cNvPr>
            <xdr:cNvSpPr txBox="1"/>
          </xdr:nvSpPr>
          <xdr:spPr>
            <a:xfrm>
              <a:off x="14556676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62B3130B-7A9C-42F8-B058-A66D194512EB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372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88" name="Rectangle 87">
              <a:extLst>
                <a:ext uri="{FF2B5EF4-FFF2-40B4-BE49-F238E27FC236}">
                  <a16:creationId xmlns:a16="http://schemas.microsoft.com/office/drawing/2014/main" id="{097804C7-F2BE-1CC0-5DA1-59BB58038DD5}"/>
                </a:ext>
              </a:extLst>
            </xdr:cNvPr>
            <xdr:cNvSpPr/>
          </xdr:nvSpPr>
          <xdr:spPr>
            <a:xfrm>
              <a:off x="14646482" y="3861955"/>
              <a:ext cx="1617518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9ADFB3E6-2B40-3FAC-788A-8A1737F2166A}"/>
                </a:ext>
              </a:extLst>
            </xdr:cNvPr>
            <xdr:cNvSpPr txBox="1"/>
          </xdr:nvSpPr>
          <xdr:spPr>
            <a:xfrm>
              <a:off x="14556676" y="4352294"/>
              <a:ext cx="1203537" cy="3383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chemeClr val="tx2">
                      <a:lumMod val="75000"/>
                    </a:schemeClr>
                  </a:solidFill>
                  <a:latin typeface="Satoshi" pitchFamily="50" charset="0"/>
                </a:rPr>
                <a:t>RETURN RATE</a:t>
              </a:r>
            </a:p>
          </xdr:txBody>
        </xdr:sp>
        <xdr:grpSp>
          <xdr:nvGrpSpPr>
            <xdr:cNvPr id="90" name="Group 89">
              <a:extLst>
                <a:ext uri="{FF2B5EF4-FFF2-40B4-BE49-F238E27FC236}">
                  <a16:creationId xmlns:a16="http://schemas.microsoft.com/office/drawing/2014/main" id="{6D18DD1E-154D-A63D-641F-5CFDB432A4E8}"/>
                </a:ext>
              </a:extLst>
            </xdr:cNvPr>
            <xdr:cNvGrpSpPr/>
          </xdr:nvGrpSpPr>
          <xdr:grpSpPr>
            <a:xfrm>
              <a:off x="19257705" y="4142413"/>
              <a:ext cx="688426" cy="639026"/>
              <a:chOff x="19360409" y="4142413"/>
              <a:chExt cx="691739" cy="639026"/>
            </a:xfrm>
          </xdr:grpSpPr>
          <xdr:graphicFrame macro="">
            <xdr:nvGraphicFramePr>
              <xdr:cNvPr id="98" name="Chart 97">
                <a:extLst>
                  <a:ext uri="{FF2B5EF4-FFF2-40B4-BE49-F238E27FC236}">
                    <a16:creationId xmlns:a16="http://schemas.microsoft.com/office/drawing/2014/main" id="{5E180A28-6799-3F6B-CF8F-93AACEE702C6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9360409" y="4142413"/>
              <a:ext cx="691739" cy="63902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1"/>
              </a:graphicData>
            </a:graphic>
          </xdr:graphicFrame>
          <xdr:sp macro="" textlink="Questions!J48">
            <xdr:nvSpPr>
              <xdr:cNvPr id="99" name="TextBox 98">
                <a:extLst>
                  <a:ext uri="{FF2B5EF4-FFF2-40B4-BE49-F238E27FC236}">
                    <a16:creationId xmlns:a16="http://schemas.microsoft.com/office/drawing/2014/main" id="{AB4656CB-9181-B85D-EE71-19FFB8EF12FA}"/>
                  </a:ext>
                </a:extLst>
              </xdr:cNvPr>
              <xdr:cNvSpPr txBox="1"/>
            </xdr:nvSpPr>
            <xdr:spPr>
              <a:xfrm>
                <a:off x="19518071" y="4353969"/>
                <a:ext cx="379536" cy="2856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fld id="{4CE1A6F5-B614-4FE0-A55B-63E892278757}" type="TxLink">
                  <a:rPr lang="en-US" sz="500" b="1" i="0" u="none" strike="noStrike">
                    <a:solidFill>
                      <a:srgbClr val="000000"/>
                    </a:solidFill>
                    <a:latin typeface="Satoshi" pitchFamily="50" charset="0"/>
                    <a:ea typeface="+mn-ea"/>
                    <a:cs typeface="Calibri"/>
                  </a:rPr>
                  <a:pPr marL="0" indent="0" algn="ctr"/>
                  <a:t>45.40%</a:t>
                </a:fld>
                <a:endParaRPr lang="en-US" sz="500" b="1" i="0" u="none" strike="noStrike">
                  <a:solidFill>
                    <a:srgbClr val="000000"/>
                  </a:solidFill>
                  <a:latin typeface="Satoshi" pitchFamily="50" charset="0"/>
                  <a:ea typeface="+mn-ea"/>
                  <a:cs typeface="Calibri"/>
                </a:endParaRPr>
              </a:p>
            </xdr:txBody>
          </xdr:sp>
        </xdr:grpSp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79CE7377-5F81-0475-5EEA-57C8D1B5D97E}"/>
                </a:ext>
              </a:extLst>
            </xdr:cNvPr>
            <xdr:cNvSpPr txBox="1"/>
          </xdr:nvSpPr>
          <xdr:spPr>
            <a:xfrm>
              <a:off x="17452275" y="3367767"/>
              <a:ext cx="1655369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DELAYED 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ORDERS</a:t>
              </a:r>
            </a:p>
          </xdr:txBody>
        </xdr:sp>
        <xdr:sp macro="" textlink="Questions!I48">
          <xdr:nvSpPr>
            <xdr:cNvPr id="92" name="TextBox 91">
              <a:extLst>
                <a:ext uri="{FF2B5EF4-FFF2-40B4-BE49-F238E27FC236}">
                  <a16:creationId xmlns:a16="http://schemas.microsoft.com/office/drawing/2014/main" id="{8AEAA54C-CC32-86D0-75D4-33DAF1ABB504}"/>
                </a:ext>
              </a:extLst>
            </xdr:cNvPr>
            <xdr:cNvSpPr txBox="1"/>
          </xdr:nvSpPr>
          <xdr:spPr>
            <a:xfrm>
              <a:off x="17452276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49DC2837-C670-4B8F-90A5-74C6FD9E4852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681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93" name="Rectangle 92">
              <a:extLst>
                <a:ext uri="{FF2B5EF4-FFF2-40B4-BE49-F238E27FC236}">
                  <a16:creationId xmlns:a16="http://schemas.microsoft.com/office/drawing/2014/main" id="{3E0C8932-183B-0375-96BB-0415DEF8A4F3}"/>
                </a:ext>
              </a:extLst>
            </xdr:cNvPr>
            <xdr:cNvSpPr/>
          </xdr:nvSpPr>
          <xdr:spPr>
            <a:xfrm>
              <a:off x="17542082" y="3861955"/>
              <a:ext cx="1617518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B40B4055-EE4C-FE2C-4972-17B3FFF1CC47}"/>
                </a:ext>
              </a:extLst>
            </xdr:cNvPr>
            <xdr:cNvSpPr txBox="1"/>
          </xdr:nvSpPr>
          <xdr:spPr>
            <a:xfrm>
              <a:off x="17452276" y="4352294"/>
              <a:ext cx="1203537" cy="3383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chemeClr val="tx2">
                      <a:lumMod val="75000"/>
                    </a:schemeClr>
                  </a:solidFill>
                  <a:latin typeface="Satoshi" pitchFamily="50" charset="0"/>
                </a:rPr>
                <a:t>DELAY RATE</a:t>
              </a:r>
            </a:p>
          </xdr:txBody>
        </xdr:sp>
        <xdr:grpSp>
          <xdr:nvGrpSpPr>
            <xdr:cNvPr id="95" name="Group 94">
              <a:extLst>
                <a:ext uri="{FF2B5EF4-FFF2-40B4-BE49-F238E27FC236}">
                  <a16:creationId xmlns:a16="http://schemas.microsoft.com/office/drawing/2014/main" id="{A630A4DB-8A0B-B8EF-9D17-322225B50533}"/>
                </a:ext>
              </a:extLst>
            </xdr:cNvPr>
            <xdr:cNvGrpSpPr/>
          </xdr:nvGrpSpPr>
          <xdr:grpSpPr>
            <a:xfrm>
              <a:off x="16312243" y="4105275"/>
              <a:ext cx="692222" cy="640080"/>
              <a:chOff x="16312243" y="4105275"/>
              <a:chExt cx="692222" cy="640080"/>
            </a:xfrm>
          </xdr:grpSpPr>
          <xdr:graphicFrame macro="">
            <xdr:nvGraphicFramePr>
              <xdr:cNvPr id="96" name="Chart 95">
                <a:extLst>
                  <a:ext uri="{FF2B5EF4-FFF2-40B4-BE49-F238E27FC236}">
                    <a16:creationId xmlns:a16="http://schemas.microsoft.com/office/drawing/2014/main" id="{69CA525D-3E62-0562-7B2E-6660C3686EDA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6312243" y="4105275"/>
              <a:ext cx="692222" cy="6400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2"/>
              </a:graphicData>
            </a:graphic>
          </xdr:graphicFrame>
          <xdr:sp macro="" textlink="Questions!L48">
            <xdr:nvSpPr>
              <xdr:cNvPr id="97" name="TextBox 96">
                <a:extLst>
                  <a:ext uri="{FF2B5EF4-FFF2-40B4-BE49-F238E27FC236}">
                    <a16:creationId xmlns:a16="http://schemas.microsoft.com/office/drawing/2014/main" id="{B33A2AAF-60B8-6A82-3265-1EFC09920113}"/>
                  </a:ext>
                </a:extLst>
              </xdr:cNvPr>
              <xdr:cNvSpPr txBox="1"/>
            </xdr:nvSpPr>
            <xdr:spPr>
              <a:xfrm>
                <a:off x="16468725" y="4305300"/>
                <a:ext cx="377718" cy="2856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fld id="{89336225-19E5-457C-9A00-D3232B977A2D}" type="TxLink">
                  <a:rPr lang="en-US" sz="500" b="1" i="0" u="none" strike="noStrike">
                    <a:solidFill>
                      <a:srgbClr val="000000"/>
                    </a:solidFill>
                    <a:latin typeface="Satoshi" pitchFamily="50" charset="0"/>
                    <a:ea typeface="+mn-ea"/>
                    <a:cs typeface="Calibri"/>
                  </a:rPr>
                  <a:pPr marL="0" indent="0" algn="ctr"/>
                  <a:t>24.80%</a:t>
                </a:fld>
                <a:endParaRPr lang="en-US" sz="500" b="1" i="0" u="none" strike="noStrike">
                  <a:solidFill>
                    <a:srgbClr val="000000"/>
                  </a:solidFill>
                  <a:latin typeface="Satoshi" pitchFamily="50" charset="0"/>
                  <a:ea typeface="+mn-ea"/>
                  <a:cs typeface="Calibri"/>
                </a:endParaRPr>
              </a:p>
            </xdr:txBody>
          </xdr:sp>
        </xdr:grpSp>
      </xdr:grpSp>
      <mc:AlternateContent xmlns:mc="http://schemas.openxmlformats.org/markup-compatibility/2006">
        <mc:Choice xmlns:tsle="http://schemas.microsoft.com/office/drawing/2012/timeslicer" Requires="tsle">
          <xdr:graphicFrame macro="">
            <xdr:nvGraphicFramePr>
              <xdr:cNvPr id="100" name="Date 3">
                <a:extLst>
                  <a:ext uri="{FF2B5EF4-FFF2-40B4-BE49-F238E27FC236}">
                    <a16:creationId xmlns:a16="http://schemas.microsoft.com/office/drawing/2014/main" id="{05C14461-75B9-4B8F-AB26-F5FED57A8CF3}"/>
                  </a:ext>
                </a:extLst>
              </xdr:cNvPr>
              <xdr:cNvGraphicFramePr/>
            </xdr:nvGraphicFramePr>
            <xdr:xfrm>
              <a:off x="15881868" y="1437409"/>
              <a:ext cx="2774866" cy="1371600"/>
            </xdr:xfrm>
            <a:graphic>
              <a:graphicData uri="http://schemas.microsoft.com/office/drawing/2012/timeslicer">
                <tsle:timeslicer xmlns:tsle="http://schemas.microsoft.com/office/drawing/2012/timeslicer" name="Date 3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881868" y="1437409"/>
                <a:ext cx="2774866" cy="13716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180972</xdr:colOff>
      <xdr:row>3</xdr:row>
      <xdr:rowOff>142865</xdr:rowOff>
    </xdr:from>
    <xdr:to>
      <xdr:col>33</xdr:col>
      <xdr:colOff>514349</xdr:colOff>
      <xdr:row>65</xdr:row>
      <xdr:rowOff>43535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5A40BE3D-FF39-AA56-A0C9-065F3803A56C}"/>
            </a:ext>
          </a:extLst>
        </xdr:cNvPr>
        <xdr:cNvGrpSpPr/>
      </xdr:nvGrpSpPr>
      <xdr:grpSpPr>
        <a:xfrm>
          <a:off x="5030063" y="714365"/>
          <a:ext cx="15486786" cy="11711670"/>
          <a:chOff x="5030063" y="714365"/>
          <a:chExt cx="15486786" cy="1171167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F5647733-EA83-436E-B1E4-9A592572892F}"/>
              </a:ext>
            </a:extLst>
          </xdr:cNvPr>
          <xdr:cNvSpPr/>
        </xdr:nvSpPr>
        <xdr:spPr>
          <a:xfrm>
            <a:off x="5030063" y="714365"/>
            <a:ext cx="15486786" cy="11711670"/>
          </a:xfrm>
          <a:prstGeom prst="rect">
            <a:avLst/>
          </a:prstGeom>
          <a:solidFill>
            <a:schemeClr val="tx2">
              <a:lumMod val="75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DF6442D8-AD00-4964-AE2F-A60FABEFD2B2}"/>
              </a:ext>
            </a:extLst>
          </xdr:cNvPr>
          <xdr:cNvSpPr/>
        </xdr:nvSpPr>
        <xdr:spPr>
          <a:xfrm>
            <a:off x="5268190" y="3901158"/>
            <a:ext cx="14962909" cy="8382001"/>
          </a:xfrm>
          <a:prstGeom prst="roundRect">
            <a:avLst>
              <a:gd name="adj" fmla="val 2985"/>
            </a:avLst>
          </a:prstGeom>
          <a:solidFill>
            <a:schemeClr val="bg2">
              <a:lumMod val="90000"/>
              <a:alpha val="9000"/>
            </a:schemeClr>
          </a:solidFill>
          <a:ln>
            <a:noFill/>
          </a:ln>
          <a:effectLst>
            <a:softEdge rad="3175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8880103F-9194-4F11-B7D6-C118B171390F}"/>
              </a:ext>
            </a:extLst>
          </xdr:cNvPr>
          <xdr:cNvSpPr/>
        </xdr:nvSpPr>
        <xdr:spPr>
          <a:xfrm>
            <a:off x="5312352" y="929359"/>
            <a:ext cx="14918747" cy="2852737"/>
          </a:xfrm>
          <a:prstGeom prst="rect">
            <a:avLst/>
          </a:prstGeom>
          <a:gradFill flip="none" rotWithShape="1">
            <a:gsLst>
              <a:gs pos="0">
                <a:schemeClr val="tx2">
                  <a:shade val="30000"/>
                  <a:satMod val="115000"/>
                </a:schemeClr>
              </a:gs>
              <a:gs pos="50000">
                <a:schemeClr val="tx2">
                  <a:shade val="67500"/>
                  <a:satMod val="115000"/>
                </a:schemeClr>
              </a:gs>
              <a:gs pos="100000">
                <a:schemeClr val="tx2">
                  <a:shade val="100000"/>
                  <a:satMod val="115000"/>
                </a:schemeClr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90FD857-1A01-4070-8606-A699BE95ACDF}"/>
              </a:ext>
            </a:extLst>
          </xdr:cNvPr>
          <xdr:cNvSpPr/>
        </xdr:nvSpPr>
        <xdr:spPr>
          <a:xfrm flipV="1">
            <a:off x="5377967" y="1556751"/>
            <a:ext cx="14777992" cy="45719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395CA92-B3E1-4AD1-9845-3C9E948CF3D3}"/>
              </a:ext>
            </a:extLst>
          </xdr:cNvPr>
          <xdr:cNvSpPr txBox="1"/>
        </xdr:nvSpPr>
        <xdr:spPr>
          <a:xfrm>
            <a:off x="5654385" y="1909570"/>
            <a:ext cx="8623589" cy="846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000" b="1">
                <a:solidFill>
                  <a:schemeClr val="bg1"/>
                </a:solidFill>
                <a:latin typeface="Satoshi Black" pitchFamily="50" charset="0"/>
                <a:cs typeface="Poppins Black" panose="00000A00000000000000" pitchFamily="2" charset="0"/>
              </a:rPr>
              <a:t>REGIONAL SALES ANALYSIS: </a:t>
            </a:r>
          </a:p>
          <a:p>
            <a:r>
              <a:rPr lang="en-US" sz="2000" b="1">
                <a:solidFill>
                  <a:schemeClr val="bg1"/>
                </a:solidFill>
                <a:latin typeface="Satoshi Black" pitchFamily="50" charset="0"/>
                <a:cs typeface="Poppins Black" panose="00000A00000000000000" pitchFamily="2" charset="0"/>
              </a:rPr>
              <a:t>Revenue by Salesperson and Promotions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29E403A-14BB-4E93-8E7E-B8AF911F49D2}"/>
              </a:ext>
            </a:extLst>
          </xdr:cNvPr>
          <xdr:cNvSpPr/>
        </xdr:nvSpPr>
        <xdr:spPr>
          <a:xfrm>
            <a:off x="5612386" y="5019914"/>
            <a:ext cx="7024688" cy="3238933"/>
          </a:xfrm>
          <a:prstGeom prst="rect">
            <a:avLst/>
          </a:prstGeom>
          <a:solidFill>
            <a:schemeClr val="bg1">
              <a:alpha val="14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23D17825-9583-41F5-BD6B-05BBEF43C853}"/>
              </a:ext>
            </a:extLst>
          </xdr:cNvPr>
          <xdr:cNvSpPr/>
        </xdr:nvSpPr>
        <xdr:spPr>
          <a:xfrm>
            <a:off x="5598100" y="8354097"/>
            <a:ext cx="14334385" cy="3738563"/>
          </a:xfrm>
          <a:prstGeom prst="rect">
            <a:avLst/>
          </a:prstGeom>
          <a:solidFill>
            <a:schemeClr val="bg1">
              <a:alpha val="14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07E8BF38-9441-4C28-AF84-1F45A7859195}"/>
              </a:ext>
            </a:extLst>
          </xdr:cNvPr>
          <xdr:cNvSpPr/>
        </xdr:nvSpPr>
        <xdr:spPr>
          <a:xfrm>
            <a:off x="12886023" y="5019914"/>
            <a:ext cx="7048211" cy="3238933"/>
          </a:xfrm>
          <a:prstGeom prst="rect">
            <a:avLst/>
          </a:prstGeom>
          <a:solidFill>
            <a:schemeClr val="bg1">
              <a:alpha val="14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1D3BF013-DB0A-478E-AE64-4476940F16CD}"/>
              </a:ext>
            </a:extLst>
          </xdr:cNvPr>
          <xdr:cNvSpPr txBox="1"/>
        </xdr:nvSpPr>
        <xdr:spPr>
          <a:xfrm>
            <a:off x="5661068" y="5044161"/>
            <a:ext cx="2357866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="1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TOTAL ORDERS AND </a:t>
            </a:r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 REVENUE </a:t>
            </a:r>
          </a:p>
          <a:p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BY SALESPERSON</a:t>
            </a:r>
            <a:endParaRPr lang="en-US" sz="1050" b="1">
              <a:solidFill>
                <a:schemeClr val="bg1"/>
              </a:soli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Satoshi" pitchFamily="50" charset="0"/>
            </a:endParaRP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512DAFF3-83E8-4490-81FA-55D05F0D5FEE}"/>
              </a:ext>
            </a:extLst>
          </xdr:cNvPr>
          <xdr:cNvSpPr txBox="1"/>
        </xdr:nvSpPr>
        <xdr:spPr>
          <a:xfrm>
            <a:off x="12973175" y="5084982"/>
            <a:ext cx="2790697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RETURNED ORDERS AND RETURN RATE  BY SALESPERSON</a:t>
            </a:r>
            <a:endParaRPr lang="en-US" sz="1050" b="1">
              <a:solidFill>
                <a:schemeClr val="bg1"/>
              </a:soli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Satoshi" pitchFamily="50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E5417EF8-1CCB-47DA-AF70-F3EBD79C1096}"/>
              </a:ext>
            </a:extLst>
          </xdr:cNvPr>
          <xdr:cNvSpPr txBox="1"/>
        </xdr:nvSpPr>
        <xdr:spPr>
          <a:xfrm>
            <a:off x="5718596" y="8494497"/>
            <a:ext cx="1756745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="1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TOTAL</a:t>
            </a:r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 REVENUE BY </a:t>
            </a:r>
          </a:p>
          <a:p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PROMOTIONAL PLANS</a:t>
            </a:r>
            <a:endParaRPr lang="en-US" sz="1050" b="1">
              <a:solidFill>
                <a:schemeClr val="bg1"/>
              </a:soli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Satoshi" pitchFamily="50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514927E-A928-3260-28EB-3107FE73C695}"/>
              </a:ext>
            </a:extLst>
          </xdr:cNvPr>
          <xdr:cNvSpPr txBox="1"/>
        </xdr:nvSpPr>
        <xdr:spPr>
          <a:xfrm>
            <a:off x="13087485" y="8494497"/>
            <a:ext cx="3634350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="1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PROMOTIONS:</a:t>
            </a:r>
          </a:p>
          <a:p>
            <a:r>
              <a:rPr lang="en-US" sz="1050" b="1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AVERAGE DISCOUNT VS</a:t>
            </a:r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 AVERAGE ORDER QUANTITY</a:t>
            </a:r>
            <a:endParaRPr lang="en-US" sz="1050" b="1">
              <a:solidFill>
                <a:schemeClr val="bg1"/>
              </a:soli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Satoshi" pitchFamily="50" charset="0"/>
            </a:endParaRPr>
          </a:p>
        </xdr:txBody>
      </xdr:sp>
      <xdr:graphicFrame macro="">
        <xdr:nvGraphicFramePr>
          <xdr:cNvPr id="31" name="Chart 30">
            <a:extLst>
              <a:ext uri="{FF2B5EF4-FFF2-40B4-BE49-F238E27FC236}">
                <a16:creationId xmlns:a16="http://schemas.microsoft.com/office/drawing/2014/main" id="{9A428A34-0D82-45AB-A657-5DB7800D86CE}"/>
              </a:ext>
            </a:extLst>
          </xdr:cNvPr>
          <xdr:cNvGraphicFramePr>
            <a:graphicFrameLocks/>
          </xdr:cNvGraphicFramePr>
        </xdr:nvGraphicFramePr>
        <xdr:xfrm>
          <a:off x="5697682" y="5558506"/>
          <a:ext cx="6867953" cy="26740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27592A85-C5FD-4F9F-A93B-288532E6939D}"/>
              </a:ext>
            </a:extLst>
          </xdr:cNvPr>
          <xdr:cNvGraphicFramePr>
            <a:graphicFrameLocks/>
          </xdr:cNvGraphicFramePr>
        </xdr:nvGraphicFramePr>
        <xdr:xfrm>
          <a:off x="12977809" y="5470187"/>
          <a:ext cx="681687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33" name="Chart 32">
            <a:extLst>
              <a:ext uri="{FF2B5EF4-FFF2-40B4-BE49-F238E27FC236}">
                <a16:creationId xmlns:a16="http://schemas.microsoft.com/office/drawing/2014/main" id="{076EF14D-3C84-4439-8A13-3F75C58A934C}"/>
              </a:ext>
            </a:extLst>
          </xdr:cNvPr>
          <xdr:cNvGraphicFramePr>
            <a:graphicFrameLocks/>
          </xdr:cNvGraphicFramePr>
        </xdr:nvGraphicFramePr>
        <xdr:xfrm>
          <a:off x="5669536" y="8953500"/>
          <a:ext cx="6858003" cy="3072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34" name="Chart 33">
            <a:extLst>
              <a:ext uri="{FF2B5EF4-FFF2-40B4-BE49-F238E27FC236}">
                <a16:creationId xmlns:a16="http://schemas.microsoft.com/office/drawing/2014/main" id="{A258900C-F0C2-4565-A0E3-445E4A9C642A}"/>
              </a:ext>
            </a:extLst>
          </xdr:cNvPr>
          <xdr:cNvGraphicFramePr>
            <a:graphicFrameLocks/>
          </xdr:cNvGraphicFramePr>
        </xdr:nvGraphicFramePr>
        <xdr:xfrm>
          <a:off x="13157486" y="8925597"/>
          <a:ext cx="6572252" cy="3028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pSp>
        <xdr:nvGrpSpPr>
          <xdr:cNvPr id="61" name="Group 60">
            <a:extLst>
              <a:ext uri="{FF2B5EF4-FFF2-40B4-BE49-F238E27FC236}">
                <a16:creationId xmlns:a16="http://schemas.microsoft.com/office/drawing/2014/main" id="{282B2269-775C-C0AA-9790-789E2A95A3FE}"/>
              </a:ext>
            </a:extLst>
          </xdr:cNvPr>
          <xdr:cNvGrpSpPr/>
        </xdr:nvGrpSpPr>
        <xdr:grpSpPr>
          <a:xfrm>
            <a:off x="5590575" y="3167732"/>
            <a:ext cx="14294366" cy="1614489"/>
            <a:chOff x="5621748" y="3167732"/>
            <a:chExt cx="14374029" cy="1614489"/>
          </a:xfrm>
        </xdr:grpSpPr>
        <xdr:sp macro="" textlink="">
          <xdr:nvSpPr>
            <xdr:cNvPr id="5" name="Rectangle: Diagonal Corners Rounded 4">
              <a:extLst>
                <a:ext uri="{FF2B5EF4-FFF2-40B4-BE49-F238E27FC236}">
                  <a16:creationId xmlns:a16="http://schemas.microsoft.com/office/drawing/2014/main" id="{CF16AD98-8F14-4718-BD68-7549B42A6A27}"/>
                </a:ext>
              </a:extLst>
            </xdr:cNvPr>
            <xdr:cNvSpPr/>
          </xdr:nvSpPr>
          <xdr:spPr>
            <a:xfrm>
              <a:off x="14335962" y="3167732"/>
              <a:ext cx="2743962" cy="1614489"/>
            </a:xfrm>
            <a:prstGeom prst="round2Diag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" name="Rectangle: Diagonal Corners Rounded 5">
              <a:extLst>
                <a:ext uri="{FF2B5EF4-FFF2-40B4-BE49-F238E27FC236}">
                  <a16:creationId xmlns:a16="http://schemas.microsoft.com/office/drawing/2014/main" id="{D00DC09A-5B98-4F6A-9FA7-887C08CCFF68}"/>
                </a:ext>
              </a:extLst>
            </xdr:cNvPr>
            <xdr:cNvSpPr/>
          </xdr:nvSpPr>
          <xdr:spPr>
            <a:xfrm>
              <a:off x="5621748" y="3167732"/>
              <a:ext cx="2772537" cy="1614489"/>
            </a:xfrm>
            <a:prstGeom prst="round2DiagRect">
              <a:avLst>
                <a:gd name="adj1" fmla="val 16667"/>
                <a:gd name="adj2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" name="Rectangle: Diagonal Corners Rounded 6">
              <a:extLst>
                <a:ext uri="{FF2B5EF4-FFF2-40B4-BE49-F238E27FC236}">
                  <a16:creationId xmlns:a16="http://schemas.microsoft.com/office/drawing/2014/main" id="{4E8B1859-AE2D-42FA-B469-6766521FCCF0}"/>
                </a:ext>
              </a:extLst>
            </xdr:cNvPr>
            <xdr:cNvSpPr/>
          </xdr:nvSpPr>
          <xdr:spPr>
            <a:xfrm>
              <a:off x="8513792" y="3167732"/>
              <a:ext cx="2772537" cy="1614489"/>
            </a:xfrm>
            <a:prstGeom prst="round2Diag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" name="Rectangle: Diagonal Corners Rounded 7">
              <a:extLst>
                <a:ext uri="{FF2B5EF4-FFF2-40B4-BE49-F238E27FC236}">
                  <a16:creationId xmlns:a16="http://schemas.microsoft.com/office/drawing/2014/main" id="{D8699FC0-50CB-4EA9-AF3D-91CE6125C478}"/>
                </a:ext>
              </a:extLst>
            </xdr:cNvPr>
            <xdr:cNvSpPr/>
          </xdr:nvSpPr>
          <xdr:spPr>
            <a:xfrm>
              <a:off x="11429636" y="3167732"/>
              <a:ext cx="2743962" cy="1614489"/>
            </a:xfrm>
            <a:prstGeom prst="round2Diag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" name="Rectangle: Diagonal Corners Rounded 8">
              <a:extLst>
                <a:ext uri="{FF2B5EF4-FFF2-40B4-BE49-F238E27FC236}">
                  <a16:creationId xmlns:a16="http://schemas.microsoft.com/office/drawing/2014/main" id="{6A405E5D-780C-4885-A2E0-78BB34C4893C}"/>
                </a:ext>
              </a:extLst>
            </xdr:cNvPr>
            <xdr:cNvSpPr/>
          </xdr:nvSpPr>
          <xdr:spPr>
            <a:xfrm>
              <a:off x="17223240" y="3167732"/>
              <a:ext cx="2772537" cy="1614489"/>
            </a:xfrm>
            <a:prstGeom prst="round2Diag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3F4775D3-03DC-4952-891B-2D89921DD7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749167" y="3344404"/>
              <a:ext cx="499454" cy="482214"/>
            </a:xfrm>
            <a:prstGeom prst="rect">
              <a:avLst/>
            </a:prstGeom>
          </xdr:spPr>
        </xdr:pic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D0F07931-BF00-48D7-9BF5-2FAD5E23C3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581676" y="3346068"/>
              <a:ext cx="497239" cy="478886"/>
            </a:xfrm>
            <a:prstGeom prst="rect">
              <a:avLst/>
            </a:prstGeom>
          </xdr:spPr>
        </xdr:pic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81FF3BF0-CE74-4961-8E67-24671606DE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9342653" y="3343195"/>
              <a:ext cx="503164" cy="484632"/>
            </a:xfrm>
            <a:prstGeom prst="rect">
              <a:avLst/>
            </a:prstGeom>
          </xdr:spPr>
        </xdr:pic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E2668F2A-2851-420B-BE25-F6AC44EC85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3548462" y="3343195"/>
              <a:ext cx="503165" cy="484632"/>
            </a:xfrm>
            <a:prstGeom prst="rect">
              <a:avLst/>
            </a:prstGeom>
          </xdr:spPr>
        </xdr:pic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3CF3D735-0F81-4C06-A652-818E1A46ED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427390" y="3343195"/>
              <a:ext cx="500734" cy="484632"/>
            </a:xfrm>
            <a:prstGeom prst="rect">
              <a:avLst/>
            </a:prstGeom>
          </xdr:spPr>
        </xdr:pic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DCD2082-5B39-206E-0062-B87D05085C2E}"/>
                </a:ext>
              </a:extLst>
            </xdr:cNvPr>
            <xdr:cNvSpPr txBox="1"/>
          </xdr:nvSpPr>
          <xdr:spPr>
            <a:xfrm>
              <a:off x="5774873" y="3367767"/>
              <a:ext cx="1366155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TOTAL 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REVENUE</a:t>
              </a:r>
            </a:p>
          </xdr:txBody>
        </xdr:sp>
        <xdr:sp macro="" textlink="Questions!F48">
          <xdr:nvSpPr>
            <xdr:cNvPr id="36" name="TextBox 35">
              <a:extLst>
                <a:ext uri="{FF2B5EF4-FFF2-40B4-BE49-F238E27FC236}">
                  <a16:creationId xmlns:a16="http://schemas.microsoft.com/office/drawing/2014/main" id="{DDABB117-BBDA-47C8-92F3-D757B29F9233}"/>
                </a:ext>
              </a:extLst>
            </xdr:cNvPr>
            <xdr:cNvSpPr txBox="1"/>
          </xdr:nvSpPr>
          <xdr:spPr>
            <a:xfrm>
              <a:off x="5774873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t>$</a:t>
              </a:r>
              <a:fld id="{A6039ED8-EEE1-44D4-964F-A2AC01BF2265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4379992.43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4A5193BD-937A-E165-67DE-B97E84270ADD}"/>
                </a:ext>
              </a:extLst>
            </xdr:cNvPr>
            <xdr:cNvSpPr/>
          </xdr:nvSpPr>
          <xdr:spPr>
            <a:xfrm>
              <a:off x="5867400" y="3861955"/>
              <a:ext cx="1620982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5EE44A3-22F6-B6BF-2F4A-F9013A53ED26}"/>
                </a:ext>
              </a:extLst>
            </xdr:cNvPr>
            <xdr:cNvSpPr txBox="1"/>
          </xdr:nvSpPr>
          <xdr:spPr>
            <a:xfrm>
              <a:off x="8632373" y="3367767"/>
              <a:ext cx="1366155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TOTAL 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ORDERS</a:t>
              </a:r>
            </a:p>
          </xdr:txBody>
        </xdr:sp>
        <xdr:sp macro="" textlink="Questions!G48">
          <xdr:nvSpPr>
            <xdr:cNvPr id="39" name="TextBox 38">
              <a:extLst>
                <a:ext uri="{FF2B5EF4-FFF2-40B4-BE49-F238E27FC236}">
                  <a16:creationId xmlns:a16="http://schemas.microsoft.com/office/drawing/2014/main" id="{E0DEE510-22DA-3C62-CB82-F54107EDACB9}"/>
                </a:ext>
              </a:extLst>
            </xdr:cNvPr>
            <xdr:cNvSpPr txBox="1"/>
          </xdr:nvSpPr>
          <xdr:spPr>
            <a:xfrm>
              <a:off x="8632373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C22B66FF-31CA-48C0-957F-7D8E614F0D6D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1500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40" name="Rectangle 39">
              <a:extLst>
                <a:ext uri="{FF2B5EF4-FFF2-40B4-BE49-F238E27FC236}">
                  <a16:creationId xmlns:a16="http://schemas.microsoft.com/office/drawing/2014/main" id="{B41DD1AB-5CC0-FD31-2D19-05563496A545}"/>
                </a:ext>
              </a:extLst>
            </xdr:cNvPr>
            <xdr:cNvSpPr/>
          </xdr:nvSpPr>
          <xdr:spPr>
            <a:xfrm>
              <a:off x="8724900" y="3861955"/>
              <a:ext cx="1617518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FB427E3-3CD0-9910-4E76-A9353D0D0058}"/>
                </a:ext>
              </a:extLst>
            </xdr:cNvPr>
            <xdr:cNvSpPr txBox="1"/>
          </xdr:nvSpPr>
          <xdr:spPr>
            <a:xfrm>
              <a:off x="11628418" y="3367767"/>
              <a:ext cx="1658090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AVERAGE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DELIVERY DAYS</a:t>
              </a:r>
            </a:p>
          </xdr:txBody>
        </xdr:sp>
        <xdr:sp macro="" textlink="Questions!H48">
          <xdr:nvSpPr>
            <xdr:cNvPr id="42" name="TextBox 41">
              <a:extLst>
                <a:ext uri="{FF2B5EF4-FFF2-40B4-BE49-F238E27FC236}">
                  <a16:creationId xmlns:a16="http://schemas.microsoft.com/office/drawing/2014/main" id="{E818E9B9-9F3C-2B0F-2227-F2DDB17B27E7}"/>
                </a:ext>
              </a:extLst>
            </xdr:cNvPr>
            <xdr:cNvSpPr txBox="1"/>
          </xdr:nvSpPr>
          <xdr:spPr>
            <a:xfrm>
              <a:off x="11628419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C59B0602-2C9A-48D9-BFCC-636B60600919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6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43" name="Rectangle 42">
              <a:extLst>
                <a:ext uri="{FF2B5EF4-FFF2-40B4-BE49-F238E27FC236}">
                  <a16:creationId xmlns:a16="http://schemas.microsoft.com/office/drawing/2014/main" id="{A93A90C1-229A-DDA2-88AE-BB31A5D14889}"/>
                </a:ext>
              </a:extLst>
            </xdr:cNvPr>
            <xdr:cNvSpPr/>
          </xdr:nvSpPr>
          <xdr:spPr>
            <a:xfrm>
              <a:off x="11720946" y="3861955"/>
              <a:ext cx="1617518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EF5CEB9F-AA2F-7A02-E4AA-5FBF1CC964C9}"/>
                </a:ext>
              </a:extLst>
            </xdr:cNvPr>
            <xdr:cNvSpPr txBox="1"/>
          </xdr:nvSpPr>
          <xdr:spPr>
            <a:xfrm>
              <a:off x="14556675" y="3367767"/>
              <a:ext cx="1655369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RETURNED 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ORDERS</a:t>
              </a:r>
            </a:p>
          </xdr:txBody>
        </xdr:sp>
        <xdr:sp macro="" textlink="Questions!K48">
          <xdr:nvSpPr>
            <xdr:cNvPr id="45" name="TextBox 44">
              <a:extLst>
                <a:ext uri="{FF2B5EF4-FFF2-40B4-BE49-F238E27FC236}">
                  <a16:creationId xmlns:a16="http://schemas.microsoft.com/office/drawing/2014/main" id="{9FC378E8-39C0-CF4A-6995-30C23512F07D}"/>
                </a:ext>
              </a:extLst>
            </xdr:cNvPr>
            <xdr:cNvSpPr txBox="1"/>
          </xdr:nvSpPr>
          <xdr:spPr>
            <a:xfrm>
              <a:off x="14556676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8CE8F192-33E6-4B18-AA7C-DBCACDB9D632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372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48144D17-FDF7-D63F-89EF-F4505308A20F}"/>
                </a:ext>
              </a:extLst>
            </xdr:cNvPr>
            <xdr:cNvSpPr/>
          </xdr:nvSpPr>
          <xdr:spPr>
            <a:xfrm>
              <a:off x="14646482" y="3861955"/>
              <a:ext cx="1617518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03E92B8E-E930-F816-DCE5-A48F8295535A}"/>
                </a:ext>
              </a:extLst>
            </xdr:cNvPr>
            <xdr:cNvSpPr txBox="1"/>
          </xdr:nvSpPr>
          <xdr:spPr>
            <a:xfrm>
              <a:off x="14556676" y="4352294"/>
              <a:ext cx="1203537" cy="3383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chemeClr val="tx2">
                      <a:lumMod val="75000"/>
                    </a:schemeClr>
                  </a:solidFill>
                  <a:latin typeface="Satoshi" pitchFamily="50" charset="0"/>
                </a:rPr>
                <a:t>RETURN RATE</a:t>
              </a:r>
            </a:p>
          </xdr:txBody>
        </xdr:sp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B2074323-FD91-1CD0-265D-9416DE2E0928}"/>
                </a:ext>
              </a:extLst>
            </xdr:cNvPr>
            <xdr:cNvGrpSpPr/>
          </xdr:nvGrpSpPr>
          <xdr:grpSpPr>
            <a:xfrm>
              <a:off x="19257705" y="4142413"/>
              <a:ext cx="688426" cy="639026"/>
              <a:chOff x="19360409" y="4142413"/>
              <a:chExt cx="691739" cy="639026"/>
            </a:xfrm>
          </xdr:grpSpPr>
          <xdr:graphicFrame macro="">
            <xdr:nvGraphicFramePr>
              <xdr:cNvPr id="48" name="Chart 47">
                <a:extLst>
                  <a:ext uri="{FF2B5EF4-FFF2-40B4-BE49-F238E27FC236}">
                    <a16:creationId xmlns:a16="http://schemas.microsoft.com/office/drawing/2014/main" id="{4B598588-177A-4B61-8520-2821111F3308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9360409" y="4142413"/>
              <a:ext cx="691739" cy="63902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  <xdr:sp macro="" textlink="Questions!J48">
            <xdr:nvSpPr>
              <xdr:cNvPr id="51" name="TextBox 50">
                <a:extLst>
                  <a:ext uri="{FF2B5EF4-FFF2-40B4-BE49-F238E27FC236}">
                    <a16:creationId xmlns:a16="http://schemas.microsoft.com/office/drawing/2014/main" id="{1827388E-4010-9426-33D9-3AAB93D7C481}"/>
                  </a:ext>
                </a:extLst>
              </xdr:cNvPr>
              <xdr:cNvSpPr txBox="1"/>
            </xdr:nvSpPr>
            <xdr:spPr>
              <a:xfrm>
                <a:off x="19518071" y="4353969"/>
                <a:ext cx="379536" cy="2856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F6B079E3-9B4F-4A83-9DCF-49BB373D9799}" type="TxLink">
                  <a:rPr lang="en-US" sz="500" b="1" i="0" u="none" strike="noStrike">
                    <a:solidFill>
                      <a:srgbClr val="000000"/>
                    </a:solidFill>
                    <a:latin typeface="Satoshi" pitchFamily="50" charset="0"/>
                    <a:cs typeface="Calibri"/>
                  </a:rPr>
                  <a:pPr algn="ctr"/>
                  <a:t>45.40%</a:t>
                </a:fld>
                <a:endParaRPr lang="en-US" sz="500" b="1">
                  <a:solidFill>
                    <a:schemeClr val="tx2">
                      <a:lumMod val="75000"/>
                    </a:schemeClr>
                  </a:solidFill>
                  <a:latin typeface="Satoshi" pitchFamily="50" charset="0"/>
                </a:endParaRPr>
              </a:p>
            </xdr:txBody>
          </xdr:sp>
        </xdr:grp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6767649D-7C7B-9F90-8D24-6B0454EE8DB2}"/>
                </a:ext>
              </a:extLst>
            </xdr:cNvPr>
            <xdr:cNvSpPr txBox="1"/>
          </xdr:nvSpPr>
          <xdr:spPr>
            <a:xfrm>
              <a:off x="17452275" y="3367767"/>
              <a:ext cx="1655369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DELAYED 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ORDERS</a:t>
              </a:r>
            </a:p>
          </xdr:txBody>
        </xdr:sp>
        <xdr:sp macro="" textlink="Questions!I48">
          <xdr:nvSpPr>
            <xdr:cNvPr id="53" name="TextBox 52">
              <a:extLst>
                <a:ext uri="{FF2B5EF4-FFF2-40B4-BE49-F238E27FC236}">
                  <a16:creationId xmlns:a16="http://schemas.microsoft.com/office/drawing/2014/main" id="{9E5D7179-991B-D85F-709A-0041CD82AA18}"/>
                </a:ext>
              </a:extLst>
            </xdr:cNvPr>
            <xdr:cNvSpPr txBox="1"/>
          </xdr:nvSpPr>
          <xdr:spPr>
            <a:xfrm>
              <a:off x="17452276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49DC2837-C670-4B8F-90A5-74C6FD9E4852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681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A3F4A51-B0CE-71AD-C4E1-A2E63D5898F4}"/>
                </a:ext>
              </a:extLst>
            </xdr:cNvPr>
            <xdr:cNvSpPr/>
          </xdr:nvSpPr>
          <xdr:spPr>
            <a:xfrm>
              <a:off x="17542082" y="3861955"/>
              <a:ext cx="1617518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7322D9C-8701-8CCB-E585-DB283D8BA03B}"/>
                </a:ext>
              </a:extLst>
            </xdr:cNvPr>
            <xdr:cNvSpPr txBox="1"/>
          </xdr:nvSpPr>
          <xdr:spPr>
            <a:xfrm>
              <a:off x="17452276" y="4352294"/>
              <a:ext cx="1203537" cy="3383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chemeClr val="tx2">
                      <a:lumMod val="75000"/>
                    </a:schemeClr>
                  </a:solidFill>
                  <a:latin typeface="Satoshi" pitchFamily="50" charset="0"/>
                </a:rPr>
                <a:t>DELAY RATE</a:t>
              </a:r>
            </a:p>
          </xdr:txBody>
        </xdr:sp>
        <xdr:grpSp>
          <xdr:nvGrpSpPr>
            <xdr:cNvPr id="60" name="Group 59">
              <a:extLst>
                <a:ext uri="{FF2B5EF4-FFF2-40B4-BE49-F238E27FC236}">
                  <a16:creationId xmlns:a16="http://schemas.microsoft.com/office/drawing/2014/main" id="{79666EBB-EE12-9C05-29F1-C133E5A3A451}"/>
                </a:ext>
              </a:extLst>
            </xdr:cNvPr>
            <xdr:cNvGrpSpPr/>
          </xdr:nvGrpSpPr>
          <xdr:grpSpPr>
            <a:xfrm>
              <a:off x="16312243" y="4105275"/>
              <a:ext cx="692222" cy="640080"/>
              <a:chOff x="16312243" y="4105275"/>
              <a:chExt cx="692222" cy="640080"/>
            </a:xfrm>
          </xdr:grpSpPr>
          <xdr:graphicFrame macro="">
            <xdr:nvGraphicFramePr>
              <xdr:cNvPr id="57" name="Chart 56">
                <a:extLst>
                  <a:ext uri="{FF2B5EF4-FFF2-40B4-BE49-F238E27FC236}">
                    <a16:creationId xmlns:a16="http://schemas.microsoft.com/office/drawing/2014/main" id="{59B02487-A265-4BB0-AA47-917ADB25CF94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6312243" y="4105275"/>
              <a:ext cx="692222" cy="6400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1"/>
              </a:graphicData>
            </a:graphic>
          </xdr:graphicFrame>
          <xdr:sp macro="" textlink="Questions!L48">
            <xdr:nvSpPr>
              <xdr:cNvPr id="59" name="TextBox 58">
                <a:extLst>
                  <a:ext uri="{FF2B5EF4-FFF2-40B4-BE49-F238E27FC236}">
                    <a16:creationId xmlns:a16="http://schemas.microsoft.com/office/drawing/2014/main" id="{A5A77172-8E7D-4806-B029-39EE0562298B}"/>
                  </a:ext>
                </a:extLst>
              </xdr:cNvPr>
              <xdr:cNvSpPr txBox="1"/>
            </xdr:nvSpPr>
            <xdr:spPr>
              <a:xfrm>
                <a:off x="16468725" y="4305300"/>
                <a:ext cx="377718" cy="2856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fld id="{BB71852E-BD7A-481C-969D-610E499AD5E1}" type="TxLink">
                  <a:rPr lang="en-US" sz="500" b="1" i="0" u="none" strike="noStrike">
                    <a:solidFill>
                      <a:srgbClr val="000000"/>
                    </a:solidFill>
                    <a:latin typeface="Satoshi" pitchFamily="50" charset="0"/>
                    <a:ea typeface="+mn-ea"/>
                    <a:cs typeface="Calibri"/>
                  </a:rPr>
                  <a:pPr marL="0" indent="0" algn="ctr"/>
                  <a:t>24.80%</a:t>
                </a:fld>
                <a:endParaRPr lang="en-US" sz="500" b="1" i="0" u="none" strike="noStrike">
                  <a:solidFill>
                    <a:srgbClr val="000000"/>
                  </a:solidFill>
                  <a:latin typeface="Satoshi" pitchFamily="50" charset="0"/>
                  <a:ea typeface="+mn-ea"/>
                  <a:cs typeface="Calibri"/>
                </a:endParaRPr>
              </a:p>
            </xdr:txBody>
          </xdr:sp>
        </xdr:grpSp>
      </xdr:grpSp>
      <mc:AlternateContent xmlns:mc="http://schemas.openxmlformats.org/markup-compatibility/2006">
        <mc:Choice xmlns:tsle="http://schemas.microsoft.com/office/drawing/2012/timeslicer" Requires="tsle">
          <xdr:graphicFrame macro="">
            <xdr:nvGraphicFramePr>
              <xdr:cNvPr id="62" name="Date 1">
                <a:extLst>
                  <a:ext uri="{FF2B5EF4-FFF2-40B4-BE49-F238E27FC236}">
                    <a16:creationId xmlns:a16="http://schemas.microsoft.com/office/drawing/2014/main" id="{70A24BE4-D0DA-4D56-B1F2-FFB31E28EC75}"/>
                  </a:ext>
                </a:extLst>
              </xdr:cNvPr>
              <xdr:cNvGraphicFramePr/>
            </xdr:nvGraphicFramePr>
            <xdr:xfrm>
              <a:off x="17122114" y="1677753"/>
              <a:ext cx="2761012" cy="1371600"/>
            </xdr:xfrm>
            <a:graphic>
              <a:graphicData uri="http://schemas.microsoft.com/office/drawing/2012/timeslicer">
                <tsle:timeslicer xmlns:tsle="http://schemas.microsoft.com/office/drawing/2012/timeslicer" name="Date 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7122114" y="1677753"/>
                <a:ext cx="2761012" cy="13716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27</xdr:col>
      <xdr:colOff>246786</xdr:colOff>
      <xdr:row>62</xdr:row>
      <xdr:rowOff>91170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5BC8FD3F-7EE0-D1BA-9B58-20804C206F04}"/>
            </a:ext>
          </a:extLst>
        </xdr:cNvPr>
        <xdr:cNvGrpSpPr/>
      </xdr:nvGrpSpPr>
      <xdr:grpSpPr>
        <a:xfrm>
          <a:off x="1210235" y="190500"/>
          <a:ext cx="15374727" cy="11711670"/>
          <a:chOff x="1219200" y="190500"/>
          <a:chExt cx="15486786" cy="1171167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C195D48A-8DE2-4B26-9806-9DCF01927EF8}"/>
              </a:ext>
            </a:extLst>
          </xdr:cNvPr>
          <xdr:cNvSpPr/>
        </xdr:nvSpPr>
        <xdr:spPr>
          <a:xfrm>
            <a:off x="1219200" y="190500"/>
            <a:ext cx="15486786" cy="11711670"/>
          </a:xfrm>
          <a:prstGeom prst="rect">
            <a:avLst/>
          </a:prstGeom>
          <a:solidFill>
            <a:schemeClr val="tx2">
              <a:lumMod val="75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67373F5F-7075-AE29-B933-95971D30E8B5}"/>
              </a:ext>
            </a:extLst>
          </xdr:cNvPr>
          <xdr:cNvSpPr/>
        </xdr:nvSpPr>
        <xdr:spPr>
          <a:xfrm>
            <a:off x="9075160" y="7901237"/>
            <a:ext cx="7048211" cy="3600200"/>
          </a:xfrm>
          <a:prstGeom prst="rect">
            <a:avLst/>
          </a:prstGeom>
          <a:solidFill>
            <a:schemeClr val="bg1">
              <a:alpha val="14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EE661F79-44C6-4724-815B-582E20D33062}"/>
              </a:ext>
            </a:extLst>
          </xdr:cNvPr>
          <xdr:cNvSpPr/>
        </xdr:nvSpPr>
        <xdr:spPr>
          <a:xfrm>
            <a:off x="1801523" y="7901237"/>
            <a:ext cx="7024688" cy="3600200"/>
          </a:xfrm>
          <a:prstGeom prst="rect">
            <a:avLst/>
          </a:prstGeom>
          <a:solidFill>
            <a:schemeClr val="bg1">
              <a:alpha val="14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01F73C12-C3CD-4DE3-A9F5-ABD2F329F86F}"/>
              </a:ext>
            </a:extLst>
          </xdr:cNvPr>
          <xdr:cNvSpPr/>
        </xdr:nvSpPr>
        <xdr:spPr>
          <a:xfrm>
            <a:off x="1457327" y="3377293"/>
            <a:ext cx="14962909" cy="8382001"/>
          </a:xfrm>
          <a:prstGeom prst="roundRect">
            <a:avLst>
              <a:gd name="adj" fmla="val 2985"/>
            </a:avLst>
          </a:prstGeom>
          <a:solidFill>
            <a:schemeClr val="bg2">
              <a:lumMod val="90000"/>
              <a:alpha val="9000"/>
            </a:schemeClr>
          </a:solidFill>
          <a:ln>
            <a:noFill/>
          </a:ln>
          <a:effectLst>
            <a:softEdge rad="3175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487FB642-1B5B-4E65-8C45-B2730F40E96A}"/>
              </a:ext>
            </a:extLst>
          </xdr:cNvPr>
          <xdr:cNvSpPr/>
        </xdr:nvSpPr>
        <xdr:spPr>
          <a:xfrm>
            <a:off x="1501489" y="405494"/>
            <a:ext cx="14918747" cy="2852737"/>
          </a:xfrm>
          <a:prstGeom prst="rect">
            <a:avLst/>
          </a:prstGeom>
          <a:gradFill flip="none" rotWithShape="1">
            <a:gsLst>
              <a:gs pos="0">
                <a:schemeClr val="tx2">
                  <a:shade val="30000"/>
                  <a:satMod val="115000"/>
                </a:schemeClr>
              </a:gs>
              <a:gs pos="50000">
                <a:schemeClr val="tx2">
                  <a:shade val="67500"/>
                  <a:satMod val="115000"/>
                </a:schemeClr>
              </a:gs>
              <a:gs pos="100000">
                <a:schemeClr val="tx2">
                  <a:shade val="100000"/>
                  <a:satMod val="115000"/>
                </a:schemeClr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F6058547-2C33-4E72-9F4E-426D323527A5}"/>
              </a:ext>
            </a:extLst>
          </xdr:cNvPr>
          <xdr:cNvSpPr/>
        </xdr:nvSpPr>
        <xdr:spPr>
          <a:xfrm flipV="1">
            <a:off x="1567104" y="1032886"/>
            <a:ext cx="14777992" cy="45719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D612697F-E453-49D2-A176-119BBEC7DE45}"/>
              </a:ext>
            </a:extLst>
          </xdr:cNvPr>
          <xdr:cNvSpPr txBox="1"/>
        </xdr:nvSpPr>
        <xdr:spPr>
          <a:xfrm>
            <a:off x="1843522" y="1385705"/>
            <a:ext cx="8623589" cy="846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000" b="1">
                <a:solidFill>
                  <a:schemeClr val="bg1"/>
                </a:solidFill>
                <a:latin typeface="Satoshi Black" pitchFamily="50" charset="0"/>
                <a:cs typeface="Poppins Black" panose="00000A00000000000000" pitchFamily="2" charset="0"/>
              </a:rPr>
              <a:t>REGIONAL SALES ANALYSIS: </a:t>
            </a:r>
          </a:p>
          <a:p>
            <a:r>
              <a:rPr lang="en-US" sz="2000" b="1">
                <a:solidFill>
                  <a:schemeClr val="bg1"/>
                </a:solidFill>
                <a:latin typeface="Satoshi Black" pitchFamily="50" charset="0"/>
                <a:cs typeface="Poppins Black" panose="00000A00000000000000" pitchFamily="2" charset="0"/>
              </a:rPr>
              <a:t>Delivery Time and Delayed Orders By Region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11E28DF9-5D52-4466-B32B-EF376C8AE41A}"/>
              </a:ext>
            </a:extLst>
          </xdr:cNvPr>
          <xdr:cNvSpPr/>
        </xdr:nvSpPr>
        <xdr:spPr>
          <a:xfrm>
            <a:off x="1801523" y="4496049"/>
            <a:ext cx="7024688" cy="3238933"/>
          </a:xfrm>
          <a:prstGeom prst="rect">
            <a:avLst/>
          </a:prstGeom>
          <a:solidFill>
            <a:schemeClr val="bg1">
              <a:alpha val="14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E8102953-4BC8-49D4-965F-022B9C52971D}"/>
              </a:ext>
            </a:extLst>
          </xdr:cNvPr>
          <xdr:cNvSpPr/>
        </xdr:nvSpPr>
        <xdr:spPr>
          <a:xfrm>
            <a:off x="9075160" y="4527959"/>
            <a:ext cx="7048211" cy="3175113"/>
          </a:xfrm>
          <a:prstGeom prst="rect">
            <a:avLst/>
          </a:prstGeom>
          <a:solidFill>
            <a:schemeClr val="bg1">
              <a:alpha val="14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8146A353-0929-414A-8098-0D9A147535D5}"/>
              </a:ext>
            </a:extLst>
          </xdr:cNvPr>
          <xdr:cNvSpPr txBox="1"/>
        </xdr:nvSpPr>
        <xdr:spPr>
          <a:xfrm>
            <a:off x="1850205" y="4520296"/>
            <a:ext cx="3781871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="1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AVERAGE</a:t>
            </a:r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 DELIVERY DAYS VS MAX DELIVERY DAYS FOR TOTAL ORDERS PER REGION</a:t>
            </a:r>
            <a:endParaRPr lang="en-US" sz="1050" b="1">
              <a:solidFill>
                <a:schemeClr val="bg1"/>
              </a:soli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Satoshi" pitchFamily="50" charset="0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BD1E8EF1-A866-4EC2-A1C4-41C7ACB9BDD9}"/>
              </a:ext>
            </a:extLst>
          </xdr:cNvPr>
          <xdr:cNvSpPr txBox="1"/>
        </xdr:nvSpPr>
        <xdr:spPr>
          <a:xfrm>
            <a:off x="9162312" y="4561117"/>
            <a:ext cx="2790697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DELAYED ORDERS AND DELAY RATE FOR TOTAL ORDERS PER REGION</a:t>
            </a:r>
            <a:endParaRPr lang="en-US" sz="1050" b="1">
              <a:solidFill>
                <a:schemeClr val="bg1"/>
              </a:soli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Satoshi" pitchFamily="50" charset="0"/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6B790F5-527E-4256-B0AF-69924D7BB1EE}"/>
              </a:ext>
            </a:extLst>
          </xdr:cNvPr>
          <xdr:cNvSpPr txBox="1"/>
        </xdr:nvSpPr>
        <xdr:spPr>
          <a:xfrm>
            <a:off x="1907733" y="7970632"/>
            <a:ext cx="3436658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="1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RETURNED</a:t>
            </a:r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 ORDERS AND RETURN RATE FOR TOTAL ORDERS PER REGION</a:t>
            </a:r>
            <a:endParaRPr lang="en-US" sz="1050" b="1">
              <a:solidFill>
                <a:schemeClr val="bg1"/>
              </a:soli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Satoshi" pitchFamily="50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E78B222-1564-417B-9353-591E51120B2D}"/>
              </a:ext>
            </a:extLst>
          </xdr:cNvPr>
          <xdr:cNvSpPr txBox="1"/>
        </xdr:nvSpPr>
        <xdr:spPr>
          <a:xfrm>
            <a:off x="9276622" y="7970632"/>
            <a:ext cx="2427005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 b="1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DELAY RATE VS RETURN RATE</a:t>
            </a:r>
          </a:p>
          <a:p>
            <a:r>
              <a:rPr lang="en-US" sz="1050" b="1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PER</a:t>
            </a:r>
            <a:r>
              <a:rPr lang="en-US" sz="1050" b="1" baseline="0">
                <a:solidFill>
                  <a:schemeClr val="bg1"/>
                </a:solidFill>
                <a:effectLst>
                  <a:glow rad="63500">
                    <a:schemeClr val="accent5">
                      <a:satMod val="175000"/>
                      <a:alpha val="40000"/>
                    </a:schemeClr>
                  </a:glow>
                </a:effectLst>
                <a:latin typeface="Satoshi" pitchFamily="50" charset="0"/>
              </a:rPr>
              <a:t> REGION</a:t>
            </a:r>
            <a:endParaRPr lang="en-US" sz="1050" b="1">
              <a:solidFill>
                <a:schemeClr val="bg1"/>
              </a:soli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Satoshi" pitchFamily="50" charset="0"/>
            </a:endParaRPr>
          </a:p>
        </xdr:txBody>
      </xdr: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A98D2A0F-CE6A-4E89-8B77-423A34991F06}"/>
              </a:ext>
            </a:extLst>
          </xdr:cNvPr>
          <xdr:cNvGrpSpPr/>
        </xdr:nvGrpSpPr>
        <xdr:grpSpPr>
          <a:xfrm>
            <a:off x="1779712" y="2643867"/>
            <a:ext cx="14294366" cy="1614489"/>
            <a:chOff x="5621748" y="3167732"/>
            <a:chExt cx="14374029" cy="1614489"/>
          </a:xfrm>
        </xdr:grpSpPr>
        <xdr:sp macro="" textlink="">
          <xdr:nvSpPr>
            <xdr:cNvPr id="19" name="Rectangle: Diagonal Corners Rounded 18">
              <a:extLst>
                <a:ext uri="{FF2B5EF4-FFF2-40B4-BE49-F238E27FC236}">
                  <a16:creationId xmlns:a16="http://schemas.microsoft.com/office/drawing/2014/main" id="{CE5CF5B0-AEA0-4F0E-2BAF-9DE2308E5597}"/>
                </a:ext>
              </a:extLst>
            </xdr:cNvPr>
            <xdr:cNvSpPr/>
          </xdr:nvSpPr>
          <xdr:spPr>
            <a:xfrm>
              <a:off x="14335962" y="3167732"/>
              <a:ext cx="2743962" cy="1614489"/>
            </a:xfrm>
            <a:prstGeom prst="round2Diag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" name="Rectangle: Diagonal Corners Rounded 19">
              <a:extLst>
                <a:ext uri="{FF2B5EF4-FFF2-40B4-BE49-F238E27FC236}">
                  <a16:creationId xmlns:a16="http://schemas.microsoft.com/office/drawing/2014/main" id="{6C5FC0C5-ED67-5B65-2381-2CD24AC67493}"/>
                </a:ext>
              </a:extLst>
            </xdr:cNvPr>
            <xdr:cNvSpPr/>
          </xdr:nvSpPr>
          <xdr:spPr>
            <a:xfrm>
              <a:off x="5621748" y="3167732"/>
              <a:ext cx="2772537" cy="1614489"/>
            </a:xfrm>
            <a:prstGeom prst="round2DiagRect">
              <a:avLst>
                <a:gd name="adj1" fmla="val 16667"/>
                <a:gd name="adj2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" name="Rectangle: Diagonal Corners Rounded 20">
              <a:extLst>
                <a:ext uri="{FF2B5EF4-FFF2-40B4-BE49-F238E27FC236}">
                  <a16:creationId xmlns:a16="http://schemas.microsoft.com/office/drawing/2014/main" id="{37C84210-9266-27F9-E5A4-96B103CB177F}"/>
                </a:ext>
              </a:extLst>
            </xdr:cNvPr>
            <xdr:cNvSpPr/>
          </xdr:nvSpPr>
          <xdr:spPr>
            <a:xfrm>
              <a:off x="8513792" y="3167732"/>
              <a:ext cx="2772537" cy="1614489"/>
            </a:xfrm>
            <a:prstGeom prst="round2Diag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" name="Rectangle: Diagonal Corners Rounded 21">
              <a:extLst>
                <a:ext uri="{FF2B5EF4-FFF2-40B4-BE49-F238E27FC236}">
                  <a16:creationId xmlns:a16="http://schemas.microsoft.com/office/drawing/2014/main" id="{5F799FF1-0480-136C-AC7A-95786762EFAD}"/>
                </a:ext>
              </a:extLst>
            </xdr:cNvPr>
            <xdr:cNvSpPr/>
          </xdr:nvSpPr>
          <xdr:spPr>
            <a:xfrm>
              <a:off x="11429636" y="3167732"/>
              <a:ext cx="2743962" cy="1614489"/>
            </a:xfrm>
            <a:prstGeom prst="round2Diag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" name="Rectangle: Diagonal Corners Rounded 22">
              <a:extLst>
                <a:ext uri="{FF2B5EF4-FFF2-40B4-BE49-F238E27FC236}">
                  <a16:creationId xmlns:a16="http://schemas.microsoft.com/office/drawing/2014/main" id="{BD20B87A-3455-0717-CCE2-EC337A81FC7B}"/>
                </a:ext>
              </a:extLst>
            </xdr:cNvPr>
            <xdr:cNvSpPr/>
          </xdr:nvSpPr>
          <xdr:spPr>
            <a:xfrm>
              <a:off x="17223240" y="3167732"/>
              <a:ext cx="2772537" cy="1614489"/>
            </a:xfrm>
            <a:prstGeom prst="round2Diag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A6A6AA24-AE64-616C-4618-CD7215DED7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749167" y="3344404"/>
              <a:ext cx="499454" cy="482214"/>
            </a:xfrm>
            <a:prstGeom prst="rect">
              <a:avLst/>
            </a:prstGeom>
          </xdr:spPr>
        </xdr:pic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D9BEE2AE-218D-42B8-CD11-FB007C48FE5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581676" y="3346068"/>
              <a:ext cx="497239" cy="478886"/>
            </a:xfrm>
            <a:prstGeom prst="rect">
              <a:avLst/>
            </a:prstGeom>
          </xdr:spPr>
        </xdr:pic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E4A48339-7776-2BAC-8D4A-14185BB931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9342653" y="3343195"/>
              <a:ext cx="503164" cy="484632"/>
            </a:xfrm>
            <a:prstGeom prst="rect">
              <a:avLst/>
            </a:prstGeom>
          </xdr:spPr>
        </xdr:pic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70F30A25-0D84-F84C-BD6D-CE813192B9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3548462" y="3343195"/>
              <a:ext cx="503165" cy="484632"/>
            </a:xfrm>
            <a:prstGeom prst="rect">
              <a:avLst/>
            </a:prstGeom>
          </xdr:spPr>
        </xdr:pic>
        <xdr:pic>
          <xdr:nvPicPr>
            <xdr:cNvPr id="28" name="Picture 27">
              <a:extLst>
                <a:ext uri="{FF2B5EF4-FFF2-40B4-BE49-F238E27FC236}">
                  <a16:creationId xmlns:a16="http://schemas.microsoft.com/office/drawing/2014/main" id="{B677AAD5-7D13-A71C-1ADF-695D5FB86D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427390" y="3343195"/>
              <a:ext cx="500734" cy="484632"/>
            </a:xfrm>
            <a:prstGeom prst="rect">
              <a:avLst/>
            </a:prstGeom>
          </xdr:spPr>
        </xdr:pic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27E6113-DF69-F1F0-1291-81D22BCCFBBB}"/>
                </a:ext>
              </a:extLst>
            </xdr:cNvPr>
            <xdr:cNvSpPr txBox="1"/>
          </xdr:nvSpPr>
          <xdr:spPr>
            <a:xfrm>
              <a:off x="5774873" y="3367767"/>
              <a:ext cx="1366155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TOTAL 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REVENUE</a:t>
              </a:r>
            </a:p>
          </xdr:txBody>
        </xdr:sp>
        <xdr:sp macro="" textlink="Questions!F48">
          <xdr:nvSpPr>
            <xdr:cNvPr id="30" name="TextBox 29">
              <a:extLst>
                <a:ext uri="{FF2B5EF4-FFF2-40B4-BE49-F238E27FC236}">
                  <a16:creationId xmlns:a16="http://schemas.microsoft.com/office/drawing/2014/main" id="{F17EA500-760F-D590-4847-422F801C2B3D}"/>
                </a:ext>
              </a:extLst>
            </xdr:cNvPr>
            <xdr:cNvSpPr txBox="1"/>
          </xdr:nvSpPr>
          <xdr:spPr>
            <a:xfrm>
              <a:off x="5774873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t>$</a:t>
              </a:r>
              <a:fld id="{EEF9D095-C797-4B4C-A300-CCA11DE1CCCA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4379992.43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C4A69016-13A4-F0FB-44D8-D41915C5D882}"/>
                </a:ext>
              </a:extLst>
            </xdr:cNvPr>
            <xdr:cNvSpPr/>
          </xdr:nvSpPr>
          <xdr:spPr>
            <a:xfrm>
              <a:off x="5867400" y="3861955"/>
              <a:ext cx="1620982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A772218A-5ED6-3F35-37C2-3ACE4BD9C3AB}"/>
                </a:ext>
              </a:extLst>
            </xdr:cNvPr>
            <xdr:cNvSpPr txBox="1"/>
          </xdr:nvSpPr>
          <xdr:spPr>
            <a:xfrm>
              <a:off x="8632373" y="3367767"/>
              <a:ext cx="1366155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TOTAL 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ORDERS</a:t>
              </a:r>
            </a:p>
          </xdr:txBody>
        </xdr:sp>
        <xdr:sp macro="" textlink="Questions!G48">
          <xdr:nvSpPr>
            <xdr:cNvPr id="33" name="TextBox 32">
              <a:extLst>
                <a:ext uri="{FF2B5EF4-FFF2-40B4-BE49-F238E27FC236}">
                  <a16:creationId xmlns:a16="http://schemas.microsoft.com/office/drawing/2014/main" id="{7C39C1D3-CF98-772D-E913-071EF3BBD6DF}"/>
                </a:ext>
              </a:extLst>
            </xdr:cNvPr>
            <xdr:cNvSpPr txBox="1"/>
          </xdr:nvSpPr>
          <xdr:spPr>
            <a:xfrm>
              <a:off x="8632373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6982BAF0-6DF7-4DDC-9523-E98982DF5A38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1500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034A4A39-2224-E4DA-4E27-6CA6884AB4BA}"/>
                </a:ext>
              </a:extLst>
            </xdr:cNvPr>
            <xdr:cNvSpPr/>
          </xdr:nvSpPr>
          <xdr:spPr>
            <a:xfrm>
              <a:off x="8724900" y="3861955"/>
              <a:ext cx="1617518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9B6764EA-F282-78B8-D209-9FB321B24379}"/>
                </a:ext>
              </a:extLst>
            </xdr:cNvPr>
            <xdr:cNvSpPr txBox="1"/>
          </xdr:nvSpPr>
          <xdr:spPr>
            <a:xfrm>
              <a:off x="11628418" y="3367767"/>
              <a:ext cx="1658090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AVERAGE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DELIVERY DAYS</a:t>
              </a:r>
            </a:p>
          </xdr:txBody>
        </xdr:sp>
        <xdr:sp macro="" textlink="Questions!H48">
          <xdr:nvSpPr>
            <xdr:cNvPr id="36" name="TextBox 35">
              <a:extLst>
                <a:ext uri="{FF2B5EF4-FFF2-40B4-BE49-F238E27FC236}">
                  <a16:creationId xmlns:a16="http://schemas.microsoft.com/office/drawing/2014/main" id="{F569EA37-096D-C269-A9A7-68B4914D1513}"/>
                </a:ext>
              </a:extLst>
            </xdr:cNvPr>
            <xdr:cNvSpPr txBox="1"/>
          </xdr:nvSpPr>
          <xdr:spPr>
            <a:xfrm>
              <a:off x="11628419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C59B0602-2C9A-48D9-BFCC-636B60600919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6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C4E27B40-A61A-EAE6-F478-EE127C0E40A0}"/>
                </a:ext>
              </a:extLst>
            </xdr:cNvPr>
            <xdr:cNvSpPr/>
          </xdr:nvSpPr>
          <xdr:spPr>
            <a:xfrm>
              <a:off x="11720946" y="3861955"/>
              <a:ext cx="1617518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7CD90910-18F7-439A-DD97-BE45D218EC28}"/>
                </a:ext>
              </a:extLst>
            </xdr:cNvPr>
            <xdr:cNvSpPr txBox="1"/>
          </xdr:nvSpPr>
          <xdr:spPr>
            <a:xfrm>
              <a:off x="14556675" y="3367767"/>
              <a:ext cx="1655369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RETURNED 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ORDERS</a:t>
              </a:r>
            </a:p>
          </xdr:txBody>
        </xdr:sp>
        <xdr:sp macro="" textlink="Questions!K48">
          <xdr:nvSpPr>
            <xdr:cNvPr id="39" name="TextBox 38">
              <a:extLst>
                <a:ext uri="{FF2B5EF4-FFF2-40B4-BE49-F238E27FC236}">
                  <a16:creationId xmlns:a16="http://schemas.microsoft.com/office/drawing/2014/main" id="{F3572B16-575F-C7EA-E9FA-E7BC50D60A74}"/>
                </a:ext>
              </a:extLst>
            </xdr:cNvPr>
            <xdr:cNvSpPr txBox="1"/>
          </xdr:nvSpPr>
          <xdr:spPr>
            <a:xfrm>
              <a:off x="14556676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34313122-7054-4630-B391-D7D94EE7C552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372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40" name="Rectangle 39">
              <a:extLst>
                <a:ext uri="{FF2B5EF4-FFF2-40B4-BE49-F238E27FC236}">
                  <a16:creationId xmlns:a16="http://schemas.microsoft.com/office/drawing/2014/main" id="{E755C3BC-B348-C9B4-4847-4F1784FF6C50}"/>
                </a:ext>
              </a:extLst>
            </xdr:cNvPr>
            <xdr:cNvSpPr/>
          </xdr:nvSpPr>
          <xdr:spPr>
            <a:xfrm>
              <a:off x="14646482" y="3861955"/>
              <a:ext cx="1617518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ABE9545E-7FCB-ED47-114F-FF1FBAE1906F}"/>
                </a:ext>
              </a:extLst>
            </xdr:cNvPr>
            <xdr:cNvSpPr txBox="1"/>
          </xdr:nvSpPr>
          <xdr:spPr>
            <a:xfrm>
              <a:off x="14556676" y="4352294"/>
              <a:ext cx="1203537" cy="3383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chemeClr val="tx2">
                      <a:lumMod val="75000"/>
                    </a:schemeClr>
                  </a:solidFill>
                  <a:latin typeface="Satoshi" pitchFamily="50" charset="0"/>
                </a:rPr>
                <a:t>RETURN RATE</a:t>
              </a:r>
            </a:p>
          </xdr:txBody>
        </xdr:sp>
        <xdr:grpSp>
          <xdr:nvGrpSpPr>
            <xdr:cNvPr id="42" name="Group 41">
              <a:extLst>
                <a:ext uri="{FF2B5EF4-FFF2-40B4-BE49-F238E27FC236}">
                  <a16:creationId xmlns:a16="http://schemas.microsoft.com/office/drawing/2014/main" id="{A0A6CA66-812B-2FD9-65A9-AF8A01FAAC24}"/>
                </a:ext>
              </a:extLst>
            </xdr:cNvPr>
            <xdr:cNvGrpSpPr/>
          </xdr:nvGrpSpPr>
          <xdr:grpSpPr>
            <a:xfrm>
              <a:off x="19257705" y="4142413"/>
              <a:ext cx="688426" cy="639026"/>
              <a:chOff x="19360409" y="4142413"/>
              <a:chExt cx="691739" cy="639026"/>
            </a:xfrm>
          </xdr:grpSpPr>
          <xdr:graphicFrame macro="">
            <xdr:nvGraphicFramePr>
              <xdr:cNvPr id="50" name="Chart 49">
                <a:extLst>
                  <a:ext uri="{FF2B5EF4-FFF2-40B4-BE49-F238E27FC236}">
                    <a16:creationId xmlns:a16="http://schemas.microsoft.com/office/drawing/2014/main" id="{A5AB9BD4-61B7-5442-F04E-1244327552FF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9360409" y="4142413"/>
              <a:ext cx="691739" cy="63902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sp macro="" textlink="Questions!J48">
            <xdr:nvSpPr>
              <xdr:cNvPr id="51" name="TextBox 50">
                <a:extLst>
                  <a:ext uri="{FF2B5EF4-FFF2-40B4-BE49-F238E27FC236}">
                    <a16:creationId xmlns:a16="http://schemas.microsoft.com/office/drawing/2014/main" id="{F15BFBC1-B49C-71C2-E5D1-7D2296441E2A}"/>
                  </a:ext>
                </a:extLst>
              </xdr:cNvPr>
              <xdr:cNvSpPr txBox="1"/>
            </xdr:nvSpPr>
            <xdr:spPr>
              <a:xfrm>
                <a:off x="19518071" y="4353969"/>
                <a:ext cx="379536" cy="2856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fld id="{130B04DC-2F2E-48A1-9F8F-2E0AE199B1CE}" type="TxLink">
                  <a:rPr lang="en-US" sz="500" b="1" i="0" u="none" strike="noStrike">
                    <a:solidFill>
                      <a:srgbClr val="000000"/>
                    </a:solidFill>
                    <a:latin typeface="Satoshi" pitchFamily="50" charset="0"/>
                    <a:cs typeface="Calibri"/>
                  </a:rPr>
                  <a:t>45.40%</a:t>
                </a:fld>
                <a:endParaRPr lang="en-US" sz="500" b="1" i="0" u="none" strike="noStrike">
                  <a:solidFill>
                    <a:srgbClr val="000000"/>
                  </a:solidFill>
                  <a:latin typeface="Satoshi" pitchFamily="50" charset="0"/>
                  <a:cs typeface="Calibri"/>
                </a:endParaRPr>
              </a:p>
            </xdr:txBody>
          </xdr:sp>
        </xdr:grp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A9E9147D-5A28-8493-7286-87A11A056F6E}"/>
                </a:ext>
              </a:extLst>
            </xdr:cNvPr>
            <xdr:cNvSpPr txBox="1"/>
          </xdr:nvSpPr>
          <xdr:spPr>
            <a:xfrm>
              <a:off x="17452275" y="3367767"/>
              <a:ext cx="1655369" cy="5783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DELAYED </a:t>
              </a:r>
            </a:p>
            <a:p>
              <a:r>
                <a:rPr lang="en-US" sz="1400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</a:rPr>
                <a:t>ORDERS</a:t>
              </a:r>
            </a:p>
          </xdr:txBody>
        </xdr:sp>
        <xdr:sp macro="" textlink="Questions!I48">
          <xdr:nvSpPr>
            <xdr:cNvPr id="44" name="TextBox 43">
              <a:extLst>
                <a:ext uri="{FF2B5EF4-FFF2-40B4-BE49-F238E27FC236}">
                  <a16:creationId xmlns:a16="http://schemas.microsoft.com/office/drawing/2014/main" id="{65ACCA58-8805-5035-D9C6-F75B8B7C8F94}"/>
                </a:ext>
              </a:extLst>
            </xdr:cNvPr>
            <xdr:cNvSpPr txBox="1"/>
          </xdr:nvSpPr>
          <xdr:spPr>
            <a:xfrm>
              <a:off x="17452276" y="3955593"/>
              <a:ext cx="1839683" cy="412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FAFE7201-A0EF-4370-9492-35272F5C7533}" type="TxLink">
                <a:rPr lang="en-US" sz="2000" b="0" i="0" u="none" strike="noStrike">
                  <a:solidFill>
                    <a:schemeClr val="tx2">
                      <a:lumMod val="75000"/>
                    </a:schemeClr>
                  </a:solidFill>
                  <a:latin typeface="Satoshi Black" pitchFamily="50" charset="0"/>
                  <a:ea typeface="+mn-ea"/>
                  <a:cs typeface="Calibri"/>
                </a:rPr>
                <a:pPr marL="0" indent="0"/>
                <a:t>681</a:t>
              </a:fld>
              <a:endParaRPr lang="en-US" sz="2000" b="0" i="0" u="none" strike="noStrike">
                <a:solidFill>
                  <a:schemeClr val="tx2">
                    <a:lumMod val="75000"/>
                  </a:schemeClr>
                </a:solidFill>
                <a:latin typeface="Satoshi Black" pitchFamily="50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BC0205D4-09DD-1EAA-4E08-2CADD4FEC2D9}"/>
                </a:ext>
              </a:extLst>
            </xdr:cNvPr>
            <xdr:cNvSpPr/>
          </xdr:nvSpPr>
          <xdr:spPr>
            <a:xfrm>
              <a:off x="17542082" y="3861955"/>
              <a:ext cx="1617518" cy="45719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8F5BFBF7-85CF-4BD6-43B2-D7713C6B0508}"/>
                </a:ext>
              </a:extLst>
            </xdr:cNvPr>
            <xdr:cNvSpPr txBox="1"/>
          </xdr:nvSpPr>
          <xdr:spPr>
            <a:xfrm>
              <a:off x="17452276" y="4352294"/>
              <a:ext cx="1203537" cy="3383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chemeClr val="tx2">
                      <a:lumMod val="75000"/>
                    </a:schemeClr>
                  </a:solidFill>
                  <a:latin typeface="Satoshi" pitchFamily="50" charset="0"/>
                </a:rPr>
                <a:t>DELAY RATE</a:t>
              </a:r>
            </a:p>
          </xdr:txBody>
        </xdr:sp>
        <xdr:grpSp>
          <xdr:nvGrpSpPr>
            <xdr:cNvPr id="47" name="Group 46">
              <a:extLst>
                <a:ext uri="{FF2B5EF4-FFF2-40B4-BE49-F238E27FC236}">
                  <a16:creationId xmlns:a16="http://schemas.microsoft.com/office/drawing/2014/main" id="{ACDB0A76-1B8E-CABE-CF60-A1DF7D6C9C07}"/>
                </a:ext>
              </a:extLst>
            </xdr:cNvPr>
            <xdr:cNvGrpSpPr/>
          </xdr:nvGrpSpPr>
          <xdr:grpSpPr>
            <a:xfrm>
              <a:off x="16312243" y="4105275"/>
              <a:ext cx="692222" cy="640080"/>
              <a:chOff x="16312243" y="4105275"/>
              <a:chExt cx="692222" cy="640080"/>
            </a:xfrm>
          </xdr:grpSpPr>
          <xdr:graphicFrame macro="">
            <xdr:nvGraphicFramePr>
              <xdr:cNvPr id="48" name="Chart 47">
                <a:extLst>
                  <a:ext uri="{FF2B5EF4-FFF2-40B4-BE49-F238E27FC236}">
                    <a16:creationId xmlns:a16="http://schemas.microsoft.com/office/drawing/2014/main" id="{23DD198B-8FF4-E7E8-3C70-9B2A74CDF431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6312243" y="4105275"/>
              <a:ext cx="692222" cy="6400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  <xdr:sp macro="" textlink="Questions!L48">
            <xdr:nvSpPr>
              <xdr:cNvPr id="49" name="TextBox 48">
                <a:extLst>
                  <a:ext uri="{FF2B5EF4-FFF2-40B4-BE49-F238E27FC236}">
                    <a16:creationId xmlns:a16="http://schemas.microsoft.com/office/drawing/2014/main" id="{57871F43-9F1D-BB23-A262-D7567F4ADA3A}"/>
                  </a:ext>
                </a:extLst>
              </xdr:cNvPr>
              <xdr:cNvSpPr txBox="1"/>
            </xdr:nvSpPr>
            <xdr:spPr>
              <a:xfrm>
                <a:off x="16468725" y="4305300"/>
                <a:ext cx="377718" cy="2856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 algn="ctr"/>
                <a:fld id="{AC47171D-FE5A-4126-A251-164CFE192806}" type="TxLink">
                  <a:rPr lang="en-US" sz="500" b="1" i="0" u="none" strike="noStrike">
                    <a:solidFill>
                      <a:srgbClr val="000000"/>
                    </a:solidFill>
                    <a:latin typeface="Satoshi" pitchFamily="50" charset="0"/>
                    <a:ea typeface="+mn-ea"/>
                    <a:cs typeface="Calibri"/>
                  </a:rPr>
                  <a:pPr marL="0" indent="0" algn="ctr"/>
                  <a:t>24.80%</a:t>
                </a:fld>
                <a:endParaRPr lang="en-US" sz="500" b="1" i="0" u="none" strike="noStrike">
                  <a:solidFill>
                    <a:srgbClr val="000000"/>
                  </a:solidFill>
                  <a:latin typeface="Satoshi" pitchFamily="50" charset="0"/>
                  <a:ea typeface="+mn-ea"/>
                  <a:cs typeface="Calibri"/>
                </a:endParaRPr>
              </a:p>
            </xdr:txBody>
          </xdr:sp>
        </xdr:grpSp>
      </xdr:grpSp>
      <mc:AlternateContent xmlns:mc="http://schemas.openxmlformats.org/markup-compatibility/2006">
        <mc:Choice xmlns:tsle="http://schemas.microsoft.com/office/drawing/2012/timeslicer" Requires="tsle">
          <xdr:graphicFrame macro="">
            <xdr:nvGraphicFramePr>
              <xdr:cNvPr id="52" name="Date 2">
                <a:extLst>
                  <a:ext uri="{FF2B5EF4-FFF2-40B4-BE49-F238E27FC236}">
                    <a16:creationId xmlns:a16="http://schemas.microsoft.com/office/drawing/2014/main" id="{B33A2831-309D-43C2-B4D6-D66CA6F23E11}"/>
                  </a:ext>
                </a:extLst>
              </xdr:cNvPr>
              <xdr:cNvGraphicFramePr/>
            </xdr:nvGraphicFramePr>
            <xdr:xfrm>
              <a:off x="13311251" y="1153888"/>
              <a:ext cx="2761012" cy="1371600"/>
            </xdr:xfrm>
            <a:graphic>
              <a:graphicData uri="http://schemas.microsoft.com/office/drawing/2012/timeslicer">
                <tsle:timeslicer xmlns:tsle="http://schemas.microsoft.com/office/drawing/2012/timeslicer" name="Date 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214791" y="1153888"/>
                <a:ext cx="2741034" cy="13716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  <xdr:graphicFrame macro="">
        <xdr:nvGraphicFramePr>
          <xdr:cNvPr id="55" name="Chart 54">
            <a:extLst>
              <a:ext uri="{FF2B5EF4-FFF2-40B4-BE49-F238E27FC236}">
                <a16:creationId xmlns:a16="http://schemas.microsoft.com/office/drawing/2014/main" id="{C0B08B1D-7412-48F1-BE94-D1D81B15FC7C}"/>
              </a:ext>
            </a:extLst>
          </xdr:cNvPr>
          <xdr:cNvGraphicFramePr>
            <a:graphicFrameLocks/>
          </xdr:cNvGraphicFramePr>
        </xdr:nvGraphicFramePr>
        <xdr:xfrm>
          <a:off x="1892009" y="4948486"/>
          <a:ext cx="678526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56" name="Chart 55">
            <a:extLst>
              <a:ext uri="{FF2B5EF4-FFF2-40B4-BE49-F238E27FC236}">
                <a16:creationId xmlns:a16="http://schemas.microsoft.com/office/drawing/2014/main" id="{28E7016D-33C1-49D7-B411-98B95D3D570D}"/>
              </a:ext>
            </a:extLst>
          </xdr:cNvPr>
          <xdr:cNvGraphicFramePr>
            <a:graphicFrameLocks/>
          </xdr:cNvGraphicFramePr>
        </xdr:nvGraphicFramePr>
        <xdr:xfrm>
          <a:off x="9156555" y="4943594"/>
          <a:ext cx="6848909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57" name="Chart 56">
            <a:extLst>
              <a:ext uri="{FF2B5EF4-FFF2-40B4-BE49-F238E27FC236}">
                <a16:creationId xmlns:a16="http://schemas.microsoft.com/office/drawing/2014/main" id="{47C413DE-0DDC-4DCB-8098-A84AFF4DF85B}"/>
              </a:ext>
            </a:extLst>
          </xdr:cNvPr>
          <xdr:cNvGraphicFramePr>
            <a:graphicFrameLocks/>
          </xdr:cNvGraphicFramePr>
        </xdr:nvGraphicFramePr>
        <xdr:xfrm>
          <a:off x="1839622" y="8448920"/>
          <a:ext cx="6861465" cy="29810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58" name="Chart 57">
            <a:extLst>
              <a:ext uri="{FF2B5EF4-FFF2-40B4-BE49-F238E27FC236}">
                <a16:creationId xmlns:a16="http://schemas.microsoft.com/office/drawing/2014/main" id="{891BEEFE-D51B-4D69-BC3B-B9A6768C82B5}"/>
              </a:ext>
            </a:extLst>
          </xdr:cNvPr>
          <xdr:cNvGraphicFramePr>
            <a:graphicFrameLocks/>
          </xdr:cNvGraphicFramePr>
        </xdr:nvGraphicFramePr>
        <xdr:xfrm>
          <a:off x="9184695" y="8425108"/>
          <a:ext cx="6760155" cy="29334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76200</xdr:rowOff>
    </xdr:from>
    <xdr:to>
      <xdr:col>13</xdr:col>
      <xdr:colOff>180975</xdr:colOff>
      <xdr:row>20</xdr:row>
      <xdr:rowOff>53578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136D762-B823-AC78-31E2-496F8D49BABF}"/>
            </a:ext>
          </a:extLst>
        </xdr:cNvPr>
        <xdr:cNvGrpSpPr/>
      </xdr:nvGrpSpPr>
      <xdr:grpSpPr>
        <a:xfrm>
          <a:off x="622438" y="266700"/>
          <a:ext cx="7526407" cy="3596878"/>
          <a:chOff x="622438" y="266700"/>
          <a:chExt cx="7526407" cy="3596878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9CC3FB53-4921-08E8-E2C3-A8298D3C9257}"/>
              </a:ext>
            </a:extLst>
          </xdr:cNvPr>
          <xdr:cNvSpPr/>
        </xdr:nvSpPr>
        <xdr:spPr>
          <a:xfrm>
            <a:off x="622438" y="266700"/>
            <a:ext cx="7526407" cy="3596878"/>
          </a:xfrm>
          <a:prstGeom prst="roundRect">
            <a:avLst>
              <a:gd name="adj" fmla="val 3994"/>
            </a:avLst>
          </a:prstGeom>
          <a:solidFill>
            <a:schemeClr val="tx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latin typeface="Satoshi Black" pitchFamily="50" charset="0"/>
              </a:rPr>
              <a:t>INSIGHTS</a:t>
            </a:r>
          </a:p>
        </xdr:txBody>
      </xdr:sp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CAD64B1D-260C-B76F-FA05-EB48493C41BB}"/>
              </a:ext>
            </a:extLst>
          </xdr:cNvPr>
          <xdr:cNvSpPr/>
        </xdr:nvSpPr>
        <xdr:spPr>
          <a:xfrm>
            <a:off x="774837" y="481013"/>
            <a:ext cx="159543" cy="316825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A8AC5756-385E-9158-1E8E-B885F8B894C1}"/>
              </a:ext>
            </a:extLst>
          </xdr:cNvPr>
          <xdr:cNvSpPr/>
        </xdr:nvSpPr>
        <xdr:spPr>
          <a:xfrm>
            <a:off x="1003438" y="571500"/>
            <a:ext cx="7012057" cy="3059905"/>
          </a:xfrm>
          <a:prstGeom prst="rect">
            <a:avLst/>
          </a:prstGeom>
          <a:solidFill>
            <a:schemeClr val="tx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en-US" sz="1000" b="1">
                <a:latin typeface="Satoshi" pitchFamily="50" charset="0"/>
              </a:rPr>
              <a:t>1.</a:t>
            </a:r>
            <a:r>
              <a:rPr lang="en-US" sz="1000" b="1" baseline="0">
                <a:latin typeface="Satoshi" pitchFamily="50" charset="0"/>
              </a:rPr>
              <a:t> </a:t>
            </a:r>
            <a:r>
              <a:rPr lang="en-US" sz="1000" b="1">
                <a:latin typeface="Satoshi" pitchFamily="50" charset="0"/>
              </a:rPr>
              <a:t> Revenue by Region</a:t>
            </a:r>
            <a:br>
              <a:rPr lang="en-US" sz="1000">
                <a:latin typeface="Satoshi" pitchFamily="50" charset="0"/>
              </a:rPr>
            </a:br>
            <a:r>
              <a:rPr lang="en-US" sz="1000">
                <a:latin typeface="Satoshi" pitchFamily="50" charset="0"/>
              </a:rPr>
              <a:t>North is the top-performing region at $967,958 in total revenue, with Retail as the dominant customer type. </a:t>
            </a:r>
          </a:p>
          <a:p>
            <a:r>
              <a:rPr lang="en-US" sz="1000">
                <a:latin typeface="Satoshi" pitchFamily="50" charset="0"/>
              </a:rPr>
              <a:t>What stood out was how </a:t>
            </a:r>
            <a:r>
              <a:rPr lang="en-US" sz="1000" i="1">
                <a:latin typeface="Satoshi" pitchFamily="50" charset="0"/>
              </a:rPr>
              <a:t>balanced</a:t>
            </a:r>
            <a:r>
              <a:rPr lang="en-US" sz="1000">
                <a:latin typeface="Satoshi" pitchFamily="50" charset="0"/>
              </a:rPr>
              <a:t> the regions are</a:t>
            </a:r>
            <a:r>
              <a:rPr lang="en-US" sz="1000" baseline="0">
                <a:latin typeface="Satoshi" pitchFamily="50" charset="0"/>
              </a:rPr>
              <a:t> </a:t>
            </a:r>
            <a:r>
              <a:rPr lang="en-US" sz="1000">
                <a:latin typeface="Satoshi" pitchFamily="50" charset="0"/>
              </a:rPr>
              <a:t>the gap between #1 and #5 is only $140K across 1,500 orders.</a:t>
            </a:r>
          </a:p>
          <a:p>
            <a:endParaRPr lang="en-US" sz="1000" b="1">
              <a:latin typeface="Satoshi" pitchFamily="50" charset="0"/>
            </a:endParaRPr>
          </a:p>
          <a:p>
            <a:r>
              <a:rPr lang="en-US" sz="1000" b="1">
                <a:latin typeface="Satoshi" pitchFamily="50" charset="0"/>
              </a:rPr>
              <a:t>2. Salesperson Performance</a:t>
            </a:r>
            <a:br>
              <a:rPr lang="en-US" sz="1000">
                <a:latin typeface="Satoshi" pitchFamily="50" charset="0"/>
              </a:rPr>
            </a:br>
            <a:r>
              <a:rPr lang="en-US" sz="1000">
                <a:latin typeface="Satoshi" pitchFamily="50" charset="0"/>
              </a:rPr>
              <a:t>Bob leads in revenue ($796,781), but Eva is the standout quality performer with the lowest return rate at just 21.6%.</a:t>
            </a:r>
          </a:p>
          <a:p>
            <a:r>
              <a:rPr lang="en-US" sz="1000">
                <a:latin typeface="Satoshi" pitchFamily="50" charset="0"/>
              </a:rPr>
              <a:t>Carlos generates solid revenue but has the</a:t>
            </a:r>
            <a:r>
              <a:rPr lang="en-US" sz="1000" baseline="0">
                <a:latin typeface="Satoshi" pitchFamily="50" charset="0"/>
              </a:rPr>
              <a:t> highest </a:t>
            </a:r>
            <a:r>
              <a:rPr lang="en-US" sz="1000">
                <a:latin typeface="Satoshi" pitchFamily="50" charset="0"/>
              </a:rPr>
              <a:t>return rate </a:t>
            </a:r>
            <a:r>
              <a:rPr lang="en-US" sz="11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28.2%)</a:t>
            </a:r>
            <a:r>
              <a:rPr lang="en-US" sz="1000">
                <a:latin typeface="Satoshi" pitchFamily="50" charset="0"/>
              </a:rPr>
              <a:t>, nearly 1 in 3 orders comes back. </a:t>
            </a:r>
          </a:p>
          <a:p>
            <a:endParaRPr lang="en-US" sz="1000" b="1">
              <a:latin typeface="Satoshi" pitchFamily="50" charset="0"/>
            </a:endParaRPr>
          </a:p>
          <a:p>
            <a:r>
              <a:rPr lang="en-US" sz="1000" b="1">
                <a:latin typeface="Satoshi" pitchFamily="50" charset="0"/>
              </a:rPr>
              <a:t>3.</a:t>
            </a:r>
            <a:r>
              <a:rPr lang="en-US" sz="1000" b="1" baseline="0">
                <a:latin typeface="Satoshi" pitchFamily="50" charset="0"/>
              </a:rPr>
              <a:t> </a:t>
            </a:r>
            <a:r>
              <a:rPr lang="en-US" sz="1000" b="1">
                <a:latin typeface="Satoshi" pitchFamily="50" charset="0"/>
              </a:rPr>
              <a:t>Promotions: Do They Work?</a:t>
            </a:r>
            <a:br>
              <a:rPr lang="en-US" sz="1000">
                <a:latin typeface="Satoshi" pitchFamily="50" charset="0"/>
              </a:rPr>
            </a:br>
            <a:r>
              <a:rPr lang="en-US" sz="1000">
                <a:latin typeface="Satoshi" pitchFamily="50" charset="0"/>
              </a:rPr>
              <a:t>All three promotions outperform the no-promo baseline in average order value,</a:t>
            </a:r>
            <a:r>
              <a:rPr lang="en-US" sz="1000" baseline="0">
                <a:latin typeface="Satoshi" pitchFamily="50" charset="0"/>
              </a:rPr>
              <a:t> </a:t>
            </a:r>
            <a:r>
              <a:rPr lang="en-US" sz="1000">
                <a:latin typeface="Satoshi" pitchFamily="50" charset="0"/>
              </a:rPr>
              <a:t>so yes, they work. </a:t>
            </a:r>
          </a:p>
          <a:p>
            <a:r>
              <a:rPr lang="en-US" sz="1000">
                <a:latin typeface="Satoshi" pitchFamily="50" charset="0"/>
              </a:rPr>
              <a:t>FREESHIP performs</a:t>
            </a:r>
            <a:r>
              <a:rPr lang="en-US" sz="1000" baseline="0">
                <a:latin typeface="Satoshi" pitchFamily="50" charset="0"/>
              </a:rPr>
              <a:t> the best in terms of</a:t>
            </a:r>
            <a:r>
              <a:rPr lang="en-US" sz="1000">
                <a:latin typeface="Satoshi" pitchFamily="50" charset="0"/>
              </a:rPr>
              <a:t> highest total revenue ($1.24M), highest avg order value ($2,955), and highest order volume (419 orders). WINTER15 delivered the weakest.</a:t>
            </a:r>
          </a:p>
          <a:p>
            <a:endParaRPr lang="en-US" sz="1000" b="1">
              <a:latin typeface="Satoshi" pitchFamily="50" charset="0"/>
            </a:endParaRPr>
          </a:p>
          <a:p>
            <a:r>
              <a:rPr lang="en-US" sz="1000" b="1">
                <a:latin typeface="Satoshi" pitchFamily="50" charset="0"/>
              </a:rPr>
              <a:t>4.</a:t>
            </a:r>
            <a:r>
              <a:rPr lang="en-US" sz="1000" b="1" baseline="0">
                <a:latin typeface="Satoshi" pitchFamily="50" charset="0"/>
              </a:rPr>
              <a:t> </a:t>
            </a:r>
            <a:r>
              <a:rPr lang="en-US" sz="1000" b="1">
                <a:latin typeface="Satoshi" pitchFamily="50" charset="0"/>
              </a:rPr>
              <a:t>Delivery &amp; Delays</a:t>
            </a:r>
            <a:br>
              <a:rPr lang="en-US" sz="1000">
                <a:latin typeface="Satoshi" pitchFamily="50" charset="0"/>
              </a:rPr>
            </a:br>
            <a:r>
              <a:rPr lang="en-US" sz="1000">
                <a:latin typeface="Satoshi" pitchFamily="50" charset="0"/>
              </a:rPr>
              <a:t>North has the highest delay rate at 52.75%. Central is the most efficient region at 5.88 avg days. Every region shares the same maximum delivery time of 10 days,</a:t>
            </a:r>
            <a:r>
              <a:rPr lang="en-US" sz="1000" baseline="0">
                <a:latin typeface="Satoshi" pitchFamily="50" charset="0"/>
              </a:rPr>
              <a:t> </a:t>
            </a:r>
            <a:r>
              <a:rPr lang="en-US" sz="1000">
                <a:latin typeface="Satoshi" pitchFamily="50" charset="0"/>
              </a:rPr>
              <a:t>meaning the ceiling is consistent, but the floor is where the differences matter.</a:t>
            </a:r>
          </a:p>
          <a:p>
            <a:r>
              <a:rPr lang="en-US" sz="1000">
                <a:latin typeface="Satoshi" pitchFamily="50" charset="0"/>
              </a:rPr>
              <a:t>The North having the highest</a:t>
            </a:r>
            <a:r>
              <a:rPr lang="en-US" sz="1000" baseline="0">
                <a:latin typeface="Satoshi" pitchFamily="50" charset="0"/>
              </a:rPr>
              <a:t> delay rate yet having the lowest return rate signifies that delay rate is not entirely a factor that affects return rate of orders</a:t>
            </a:r>
            <a:endParaRPr lang="en-US" sz="1000">
              <a:latin typeface="Satoshi" pitchFamily="50" charset="0"/>
            </a:endParaRPr>
          </a:p>
          <a:p>
            <a:pPr algn="l"/>
            <a:endParaRPr lang="en-US" sz="1000">
              <a:latin typeface="Satoshi" pitchFamily="50" charset="0"/>
            </a:endParaRPr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2.952489699077" backgroundQuery="1" createdVersion="8" refreshedVersion="8" minRefreshableVersion="3" recordCount="0" supportSubquery="1" supportAdvancedDrill="1" xr:uid="{FB356A15-CC29-435C-8EDB-281A2F160CC1}">
  <cacheSource type="external" connectionId="1"/>
  <cacheFields count="3">
    <cacheField name="[Measures].[Total Revenue]" caption="Total Revenue" numFmtId="0" hierarchy="24" level="32767"/>
    <cacheField name="[Sales].[Salesperson].[Salesperson]" caption="Salesperson" numFmtId="0" hierarchy="8" level="1">
      <sharedItems count="6">
        <s v="Alice"/>
        <s v="Bob"/>
        <s v="Carlos"/>
        <s v="Diana"/>
        <s v="Eva"/>
        <s v="Frank"/>
      </sharedItems>
    </cacheField>
    <cacheField name="[Sales].[CustomerType].[CustomerType]" caption="CustomerType" numFmtId="0" hierarchy="6" level="1">
      <sharedItems count="2">
        <s v="Retail"/>
        <s v="Wholesale"/>
      </sharedItems>
    </cacheField>
  </cacheFields>
  <cacheHierarchies count="36"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Region]" caption="Region" attribute="1" defaultMemberUniqueName="[Sales].[Region].[All]" allUniqueName="[Sales].[Region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0" memberValueDatatype="130" unbalanced="0"/>
    <cacheHierarchy uniqueName="[Sales].[CustomerType]" caption="CustomerType" attribute="1" defaultMemberUniqueName="[Sales].[CustomerType].[All]" allUniqueName="[Sales].[CustomerType].[All]" dimensionUniqueName="[Sales]" displayFolder="" count="2" memberValueDatatype="130" unbalanced="0">
      <fieldsUsage count="2">
        <fieldUsage x="-1"/>
        <fieldUsage x="2"/>
      </fieldsUsage>
    </cacheHierarchy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2" memberValueDatatype="130" unbalanced="0">
      <fieldsUsage count="2">
        <fieldUsage x="-1"/>
        <fieldUsage x="1"/>
      </fieldsUsage>
    </cacheHierarchy>
    <cacheHierarchy uniqueName="[Sales].[TotalPrice]" caption="TotalPrice" attribute="1" defaultMemberUniqueName="[Sales].[TotalPrice].[All]" allUniqueName="[Sales].[TotalPrice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0" memberValueDatatype="130" unbalanced="0"/>
    <cacheHierarchy uniqueName="[Sales].[Returned]" caption="Returned" attribute="1" defaultMemberUniqueName="[Sales].[Returned].[All]" allUniqueName="[Sales].[Returned].[All]" dimensionUniqueName="[Sale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0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0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0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0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0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0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Delivery Days]" caption="Max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Sales" count="0" oneField="1">
      <fieldsUsage count="1">
        <fieldUsage x="0"/>
      </fieldsUsage>
    </cacheHierarchy>
    <cacheHierarchy uniqueName="[Measures].[Total Orders]" caption="Total Orders" measure="1" displayFolder="" measureGroup="Sales" count="0"/>
    <cacheHierarchy uniqueName="[Measures].[Returned Orders]" caption="Returned Orders" measure="1" displayFolder="" measureGroup="Sales" count="0"/>
    <cacheHierarchy uniqueName="[Measures].[Return Rate]" caption="Return Rate" measure="1" displayFolder="" measureGroup="Sales" count="0"/>
    <cacheHierarchy uniqueName="[Measures].[Avg. Discount]" caption="Avg. Discount" measure="1" displayFolder="" measureGroup="Sales" count="0"/>
    <cacheHierarchy uniqueName="[Measures].[Avg. Order Quantity]" caption="Avg. Order Quantity" measure="1" displayFolder="" measureGroup="Sales" count="0"/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/>
    <cacheHierarchy uniqueName="[Measures].[Delayed Orders]" caption="Delayed Orders" measure="1" displayFolder="" measureGroup="Sales" count="0"/>
    <cacheHierarchy uniqueName="[Measures].[Delay Rate]" caption="Delay Rate" measure="1" displayFolder="" measureGroup="Sales" count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2.952492129632" backgroundQuery="1" createdVersion="8" refreshedVersion="8" minRefreshableVersion="3" recordCount="0" supportSubquery="1" supportAdvancedDrill="1" xr:uid="{D2FB41F5-59B7-4FB3-AFE0-BD7FF52F3060}">
  <cacheSource type="external" connectionId="1"/>
  <cacheFields count="2">
    <cacheField name="[Measures].[Total Revenue]" caption="Total Revenue" numFmtId="0" hierarchy="24" level="32767"/>
    <cacheField name="[Sales].[Product].[Product]" caption="Product" numFmtId="0" hierarchy="2" level="1">
      <sharedItems count="7">
        <s v="Chair"/>
        <s v="Desk"/>
        <s v="Laptop"/>
        <s v="Monitor"/>
        <s v="Phone"/>
        <s v="Printer"/>
        <s v="Tablet"/>
      </sharedItems>
    </cacheField>
  </cacheFields>
  <cacheHierarchies count="36"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Region]" caption="Region" attribute="1" defaultMemberUniqueName="[Sales].[Region].[All]" allUniqueName="[Sales].[Region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2" memberValueDatatype="130" unbalanced="0">
      <fieldsUsage count="2">
        <fieldUsage x="-1"/>
        <fieldUsage x="1"/>
      </fieldsUsage>
    </cacheHierarchy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0" memberValueDatatype="130" unbalanced="0"/>
    <cacheHierarchy uniqueName="[Sales].[CustomerType]" caption="CustomerType" attribute="1" defaultMemberUniqueName="[Sales].[CustomerType].[All]" allUniqueName="[Sales].[CustomerType].[All]" dimensionUniqueName="[Sales]" displayFolder="" count="0" memberValueDatatype="130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0" memberValueDatatype="130" unbalanced="0"/>
    <cacheHierarchy uniqueName="[Sales].[TotalPrice]" caption="TotalPrice" attribute="1" defaultMemberUniqueName="[Sales].[TotalPrice].[All]" allUniqueName="[Sales].[TotalPrice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0" memberValueDatatype="130" unbalanced="0"/>
    <cacheHierarchy uniqueName="[Sales].[Returned]" caption="Returned" attribute="1" defaultMemberUniqueName="[Sales].[Returned].[All]" allUniqueName="[Sales].[Returned].[All]" dimensionUniqueName="[Sale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0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0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0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0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0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0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Delivery Days]" caption="Max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Sales" count="0" oneField="1">
      <fieldsUsage count="1">
        <fieldUsage x="0"/>
      </fieldsUsage>
    </cacheHierarchy>
    <cacheHierarchy uniqueName="[Measures].[Total Orders]" caption="Total Orders" measure="1" displayFolder="" measureGroup="Sales" count="0"/>
    <cacheHierarchy uniqueName="[Measures].[Returned Orders]" caption="Returned Orders" measure="1" displayFolder="" measureGroup="Sales" count="0"/>
    <cacheHierarchy uniqueName="[Measures].[Return Rate]" caption="Return Rate" measure="1" displayFolder="" measureGroup="Sales" count="0"/>
    <cacheHierarchy uniqueName="[Measures].[Avg. Discount]" caption="Avg. Discount" measure="1" displayFolder="" measureGroup="Sales" count="0"/>
    <cacheHierarchy uniqueName="[Measures].[Avg. Order Quantity]" caption="Avg. Order Quantity" measure="1" displayFolder="" measureGroup="Sales" count="0"/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/>
    <cacheHierarchy uniqueName="[Measures].[Delayed Orders]" caption="Delayed Orders" measure="1" displayFolder="" measureGroup="Sales" count="0"/>
    <cacheHierarchy uniqueName="[Measures].[Delay Rate]" caption="Delay Rate" measure="1" displayFolder="" measureGroup="Sales" count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2.952494328703" backgroundQuery="1" createdVersion="8" refreshedVersion="8" minRefreshableVersion="3" recordCount="0" supportSubquery="1" supportAdvancedDrill="1" xr:uid="{893E823B-EE9A-40B7-9773-BD7BE47FA321}">
  <cacheSource type="external" connectionId="1"/>
  <cacheFields count="2">
    <cacheField name="[Sales].[Region].[Region]" caption="Region" numFmtId="0" hierarchy="1" level="1">
      <sharedItems count="5">
        <s v="Central"/>
        <s v="East"/>
        <s v="North"/>
        <s v="South"/>
        <s v="West"/>
      </sharedItems>
    </cacheField>
    <cacheField name="[Measures].[Total Revenue]" caption="Total Revenue" numFmtId="0" hierarchy="24" level="32767"/>
  </cacheFields>
  <cacheHierarchies count="36"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Region]" caption="Region" attribute="1" defaultMemberUniqueName="[Sales].[Region].[All]" allUniqueName="[Sales].[Regi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0" memberValueDatatype="130" unbalanced="0"/>
    <cacheHierarchy uniqueName="[Sales].[CustomerType]" caption="CustomerType" attribute="1" defaultMemberUniqueName="[Sales].[CustomerType].[All]" allUniqueName="[Sales].[CustomerType].[All]" dimensionUniqueName="[Sales]" displayFolder="" count="0" memberValueDatatype="130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0" memberValueDatatype="130" unbalanced="0"/>
    <cacheHierarchy uniqueName="[Sales].[TotalPrice]" caption="TotalPrice" attribute="1" defaultMemberUniqueName="[Sales].[TotalPrice].[All]" allUniqueName="[Sales].[TotalPrice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0" memberValueDatatype="130" unbalanced="0"/>
    <cacheHierarchy uniqueName="[Sales].[Returned]" caption="Returned" attribute="1" defaultMemberUniqueName="[Sales].[Returned].[All]" allUniqueName="[Sales].[Returned].[All]" dimensionUniqueName="[Sale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0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0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0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0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0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0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Delivery Days]" caption="Max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Sales" count="0" oneField="1">
      <fieldsUsage count="1">
        <fieldUsage x="1"/>
      </fieldsUsage>
    </cacheHierarchy>
    <cacheHierarchy uniqueName="[Measures].[Total Orders]" caption="Total Orders" measure="1" displayFolder="" measureGroup="Sales" count="0"/>
    <cacheHierarchy uniqueName="[Measures].[Returned Orders]" caption="Returned Orders" measure="1" displayFolder="" measureGroup="Sales" count="0"/>
    <cacheHierarchy uniqueName="[Measures].[Return Rate]" caption="Return Rate" measure="1" displayFolder="" measureGroup="Sales" count="0"/>
    <cacheHierarchy uniqueName="[Measures].[Avg. Discount]" caption="Avg. Discount" measure="1" displayFolder="" measureGroup="Sales" count="0"/>
    <cacheHierarchy uniqueName="[Measures].[Avg. Order Quantity]" caption="Avg. Order Quantity" measure="1" displayFolder="" measureGroup="Sales" count="0"/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/>
    <cacheHierarchy uniqueName="[Measures].[Delayed Orders]" caption="Delayed Orders" measure="1" displayFolder="" measureGroup="Sales" count="0"/>
    <cacheHierarchy uniqueName="[Measures].[Delay Rate]" caption="Delay Rate" measure="1" displayFolder="" measureGroup="Sales" count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3.442690277778" backgroundQuery="1" createdVersion="8" refreshedVersion="8" minRefreshableVersion="3" recordCount="0" supportSubquery="1" supportAdvancedDrill="1" xr:uid="{04EF7CB2-E2FC-4F96-9662-E357939C0565}">
  <cacheSource type="external" connectionId="1"/>
  <cacheFields count="3">
    <cacheField name="[Measures].[Total Revenue]" caption="Total Revenue" numFmtId="0" hierarchy="24" level="32767"/>
    <cacheField name="[Sales].[Region].[Region]" caption="Region" numFmtId="0" hierarchy="1" level="1">
      <sharedItems count="5">
        <s v="Central"/>
        <s v="East"/>
        <s v="North"/>
        <s v="South"/>
        <s v="West"/>
      </sharedItems>
    </cacheField>
    <cacheField name="[Sales].[CustomerType].[CustomerType]" caption="CustomerType" numFmtId="0" hierarchy="6" level="1">
      <sharedItems count="2">
        <s v="Retail"/>
        <s v="Wholesale"/>
      </sharedItems>
    </cacheField>
  </cacheFields>
  <cacheHierarchies count="36"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Region]" caption="Region" attribute="1" defaultMemberUniqueName="[Sales].[Region].[All]" allUniqueName="[Sales].[Region].[All]" dimensionUniqueName="[Sales]" displayFolder="" count="2" memberValueDatatype="130" unbalanced="0">
      <fieldsUsage count="2">
        <fieldUsage x="-1"/>
        <fieldUsage x="1"/>
      </fieldsUsage>
    </cacheHierarchy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0" memberValueDatatype="130" unbalanced="0"/>
    <cacheHierarchy uniqueName="[Sales].[CustomerType]" caption="CustomerType" attribute="1" defaultMemberUniqueName="[Sales].[CustomerType].[All]" allUniqueName="[Sales].[CustomerType].[All]" dimensionUniqueName="[Sales]" displayFolder="" count="2" memberValueDatatype="130" unbalanced="0">
      <fieldsUsage count="2">
        <fieldUsage x="-1"/>
        <fieldUsage x="2"/>
      </fieldsUsage>
    </cacheHierarchy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0" memberValueDatatype="130" unbalanced="0"/>
    <cacheHierarchy uniqueName="[Sales].[TotalPrice]" caption="TotalPrice" attribute="1" defaultMemberUniqueName="[Sales].[TotalPrice].[All]" allUniqueName="[Sales].[TotalPrice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0" memberValueDatatype="130" unbalanced="0"/>
    <cacheHierarchy uniqueName="[Sales].[Returned]" caption="Returned" attribute="1" defaultMemberUniqueName="[Sales].[Returned].[All]" allUniqueName="[Sales].[Returned].[All]" dimensionUniqueName="[Sale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0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0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0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0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0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0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Delivery Days]" caption="Max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Sales" count="0" oneField="1">
      <fieldsUsage count="1">
        <fieldUsage x="0"/>
      </fieldsUsage>
    </cacheHierarchy>
    <cacheHierarchy uniqueName="[Measures].[Total Orders]" caption="Total Orders" measure="1" displayFolder="" measureGroup="Sales" count="0"/>
    <cacheHierarchy uniqueName="[Measures].[Returned Orders]" caption="Returned Orders" measure="1" displayFolder="" measureGroup="Sales" count="0"/>
    <cacheHierarchy uniqueName="[Measures].[Return Rate]" caption="Return Rate" measure="1" displayFolder="" measureGroup="Sales" count="0"/>
    <cacheHierarchy uniqueName="[Measures].[Avg. Discount]" caption="Avg. Discount" measure="1" displayFolder="" measureGroup="Sales" count="0"/>
    <cacheHierarchy uniqueName="[Measures].[Avg. Order Quantity]" caption="Avg. Order Quantity" measure="1" displayFolder="" measureGroup="Sales" count="0"/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/>
    <cacheHierarchy uniqueName="[Measures].[Delayed Orders]" caption="Delayed Orders" measure="1" displayFolder="" measureGroup="Sales" count="0"/>
    <cacheHierarchy uniqueName="[Measures].[Delay Rate]" caption="Delay Rate" measure="1" displayFolder="" measureGroup="Sales" count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3.495439236111" backgroundQuery="1" createdVersion="8" refreshedVersion="8" minRefreshableVersion="3" recordCount="0" supportSubquery="1" supportAdvancedDrill="1" xr:uid="{5D256C08-6972-4ED7-A53B-86F6961821D4}">
  <cacheSource type="external" connectionId="1"/>
  <cacheFields count="3">
    <cacheField name="[Measures].[Total Revenue]" caption="Total Revenue" numFmtId="0" hierarchy="24" level="32767"/>
    <cacheField name="[Sales].[Salesperson].[Salesperson]" caption="Salesperson" numFmtId="0" hierarchy="8" level="1">
      <sharedItems count="6">
        <s v="Alice"/>
        <s v="Bob"/>
        <s v="Carlos"/>
        <s v="Diana"/>
        <s v="Eva"/>
        <s v="Frank"/>
      </sharedItems>
    </cacheField>
    <cacheField name="[Measures].[Total Orders]" caption="Total Orders" numFmtId="0" hierarchy="25" level="32767"/>
  </cacheFields>
  <cacheHierarchies count="36"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Region]" caption="Region" attribute="1" defaultMemberUniqueName="[Sales].[Region].[All]" allUniqueName="[Sales].[Region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0" memberValueDatatype="130" unbalanced="0"/>
    <cacheHierarchy uniqueName="[Sales].[CustomerType]" caption="CustomerType" attribute="1" defaultMemberUniqueName="[Sales].[CustomerType].[All]" allUniqueName="[Sales].[CustomerType].[All]" dimensionUniqueName="[Sales]" displayFolder="" count="0" memberValueDatatype="130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2" memberValueDatatype="130" unbalanced="0">
      <fieldsUsage count="2">
        <fieldUsage x="-1"/>
        <fieldUsage x="1"/>
      </fieldsUsage>
    </cacheHierarchy>
    <cacheHierarchy uniqueName="[Sales].[TotalPrice]" caption="TotalPrice" attribute="1" defaultMemberUniqueName="[Sales].[TotalPrice].[All]" allUniqueName="[Sales].[TotalPrice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0" memberValueDatatype="130" unbalanced="0"/>
    <cacheHierarchy uniqueName="[Sales].[Returned]" caption="Returned" attribute="1" defaultMemberUniqueName="[Sales].[Returned].[All]" allUniqueName="[Sales].[Returned].[All]" dimensionUniqueName="[Sale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0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0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0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0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0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0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Delivery Days]" caption="Max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Sales" count="0" oneField="1">
      <fieldsUsage count="1">
        <fieldUsage x="0"/>
      </fieldsUsage>
    </cacheHierarchy>
    <cacheHierarchy uniqueName="[Measures].[Total Orders]" caption="Total Orders" measure="1" displayFolder="" measureGroup="Sales" count="0" oneField="1">
      <fieldsUsage count="1">
        <fieldUsage x="2"/>
      </fieldsUsage>
    </cacheHierarchy>
    <cacheHierarchy uniqueName="[Measures].[Returned Orders]" caption="Returned Orders" measure="1" displayFolder="" measureGroup="Sales" count="0"/>
    <cacheHierarchy uniqueName="[Measures].[Return Rate]" caption="Return Rate" measure="1" displayFolder="" measureGroup="Sales" count="0"/>
    <cacheHierarchy uniqueName="[Measures].[Avg. Discount]" caption="Avg. Discount" measure="1" displayFolder="" measureGroup="Sales" count="0"/>
    <cacheHierarchy uniqueName="[Measures].[Avg. Order Quantity]" caption="Avg. Order Quantity" measure="1" displayFolder="" measureGroup="Sales" count="0"/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/>
    <cacheHierarchy uniqueName="[Measures].[Delayed Orders]" caption="Delayed Orders" measure="1" displayFolder="" measureGroup="Sales" count="0"/>
    <cacheHierarchy uniqueName="[Measures].[Delay Rate]" caption="Delay Rate" measure="1" displayFolder="" measureGroup="Sales" count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3.506489467596" backgroundQuery="1" createdVersion="8" refreshedVersion="8" minRefreshableVersion="3" recordCount="0" supportSubquery="1" supportAdvancedDrill="1" xr:uid="{87EC36BF-A3B5-421A-95EC-E77B21139335}">
  <cacheSource type="external" connectionId="1"/>
  <cacheFields count="4">
    <cacheField name="[Sales].[Region].[Region]" caption="Region" numFmtId="0" hierarchy="1" level="1">
      <sharedItems count="5">
        <s v="Central"/>
        <s v="East"/>
        <s v="North"/>
        <s v="South"/>
        <s v="West"/>
      </sharedItems>
    </cacheField>
    <cacheField name="[Measures].[Return Rate]" caption="Return Rate" numFmtId="0" hierarchy="27" level="32767"/>
    <cacheField name="[Measures].[Total Orders]" caption="Total Orders" numFmtId="0" hierarchy="25" level="32767"/>
    <cacheField name="[Measures].[Returned Orders]" caption="Returned Orders" numFmtId="0" hierarchy="26" level="32767"/>
  </cacheFields>
  <cacheHierarchies count="36"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Region]" caption="Region" attribute="1" defaultMemberUniqueName="[Sales].[Region].[All]" allUniqueName="[Sales].[Regi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0" memberValueDatatype="130" unbalanced="0"/>
    <cacheHierarchy uniqueName="[Sales].[CustomerType]" caption="CustomerType" attribute="1" defaultMemberUniqueName="[Sales].[CustomerType].[All]" allUniqueName="[Sales].[CustomerType].[All]" dimensionUniqueName="[Sales]" displayFolder="" count="0" memberValueDatatype="130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0" memberValueDatatype="130" unbalanced="0"/>
    <cacheHierarchy uniqueName="[Sales].[TotalPrice]" caption="TotalPrice" attribute="1" defaultMemberUniqueName="[Sales].[TotalPrice].[All]" allUniqueName="[Sales].[TotalPrice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0" memberValueDatatype="130" unbalanced="0"/>
    <cacheHierarchy uniqueName="[Sales].[Returned]" caption="Returned" attribute="1" defaultMemberUniqueName="[Sales].[Returned].[All]" allUniqueName="[Sales].[Returned].[All]" dimensionUniqueName="[Sale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0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0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0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0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0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0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Delivery Days]" caption="Max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Sales" count="0"/>
    <cacheHierarchy uniqueName="[Measures].[Total Orders]" caption="Total Orders" measure="1" displayFolder="" measureGroup="Sales" count="0" oneField="1">
      <fieldsUsage count="1">
        <fieldUsage x="2"/>
      </fieldsUsage>
    </cacheHierarchy>
    <cacheHierarchy uniqueName="[Measures].[Returned Orders]" caption="Returned Orders" measure="1" displayFolder="" measureGroup="Sales" count="0" oneField="1">
      <fieldsUsage count="1">
        <fieldUsage x="3"/>
      </fieldsUsage>
    </cacheHierarchy>
    <cacheHierarchy uniqueName="[Measures].[Return Rate]" caption="Return Rate" measure="1" displayFolder="" measureGroup="Sales" count="0" oneField="1">
      <fieldsUsage count="1">
        <fieldUsage x="1"/>
      </fieldsUsage>
    </cacheHierarchy>
    <cacheHierarchy uniqueName="[Measures].[Avg. Discount]" caption="Avg. Discount" measure="1" displayFolder="" measureGroup="Sales" count="0"/>
    <cacheHierarchy uniqueName="[Measures].[Avg. Order Quantity]" caption="Avg. Order Quantity" measure="1" displayFolder="" measureGroup="Sales" count="0"/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/>
    <cacheHierarchy uniqueName="[Measures].[Delayed Orders]" caption="Delayed Orders" measure="1" displayFolder="" measureGroup="Sales" count="0"/>
    <cacheHierarchy uniqueName="[Measures].[Delay Rate]" caption="Delay Rate" measure="1" displayFolder="" measureGroup="Sales" count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3.560739583336" backgroundQuery="1" createdVersion="8" refreshedVersion="8" minRefreshableVersion="3" recordCount="0" supportSubquery="1" supportAdvancedDrill="1" xr:uid="{420C1CB4-8F6C-4B3B-BF6E-2AF7C21E4214}">
  <cacheSource type="external" connectionId="1"/>
  <cacheFields count="8">
    <cacheField name="[Measures].[Total Revenue]" caption="Total Revenue" numFmtId="0" hierarchy="24" level="32767"/>
    <cacheField name="[Sales].[Salesperson].[Salesperson]" caption="Salesperson" numFmtId="0" hierarchy="8" level="1">
      <sharedItems count="6">
        <s v="Alice"/>
        <s v="Bob"/>
        <s v="Carlos"/>
        <s v="Diana"/>
        <s v="Eva"/>
        <s v="Frank"/>
      </sharedItems>
    </cacheField>
    <cacheField name="[Measures].[Total Orders]" caption="Total Orders" numFmtId="0" hierarchy="25" level="32767"/>
    <cacheField name="[Measures].[Avg. Delivery Days]" caption="Avg. Delivery Days" numFmtId="0" hierarchy="31" level="32767"/>
    <cacheField name="[Measures].[Delayed Orders]" caption="Delayed Orders" numFmtId="0" hierarchy="32" level="32767"/>
    <cacheField name="[Measures].[Delay Rate]" caption="Delay Rate" numFmtId="0" hierarchy="33" level="32767"/>
    <cacheField name="[Measures].[Returned Orders]" caption="Returned Orders" numFmtId="0" hierarchy="26" level="32767"/>
    <cacheField name="[Measures].[Return Rate]" caption="Return Rate" numFmtId="0" hierarchy="27" level="32767"/>
  </cacheFields>
  <cacheHierarchies count="36">
    <cacheHierarchy uniqueName="[Sales].[Date]" caption="Date" attribute="1" time="1" defaultMemberUniqueName="[Sales].[Date].[All]" allUniqueName="[Sales].[Date].[All]" dimensionUniqueName="[Sales]" displayFolder="" count="2" memberValueDatatype="7" unbalanced="0"/>
    <cacheHierarchy uniqueName="[Sales].[Region]" caption="Region" attribute="1" defaultMemberUniqueName="[Sales].[Region].[All]" allUniqueName="[Sales].[Region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0" memberValueDatatype="130" unbalanced="0"/>
    <cacheHierarchy uniqueName="[Sales].[CustomerType]" caption="CustomerType" attribute="1" defaultMemberUniqueName="[Sales].[CustomerType].[All]" allUniqueName="[Sales].[CustomerType].[All]" dimensionUniqueName="[Sales]" displayFolder="" count="2" memberValueDatatype="130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2" memberValueDatatype="130" unbalanced="0">
      <fieldsUsage count="2">
        <fieldUsage x="-1"/>
        <fieldUsage x="1"/>
      </fieldsUsage>
    </cacheHierarchy>
    <cacheHierarchy uniqueName="[Sales].[TotalPrice]" caption="TotalPrice" attribute="1" defaultMemberUniqueName="[Sales].[TotalPrice].[All]" allUniqueName="[Sales].[TotalPrice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0" memberValueDatatype="130" unbalanced="0"/>
    <cacheHierarchy uniqueName="[Sales].[Returned]" caption="Returned" attribute="1" defaultMemberUniqueName="[Sales].[Returned].[All]" allUniqueName="[Sales].[Returned].[All]" dimensionUniqueName="[Sale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0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0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0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0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0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0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Delivery Days]" caption="Max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Sales" count="0" oneField="1">
      <fieldsUsage count="1">
        <fieldUsage x="0"/>
      </fieldsUsage>
    </cacheHierarchy>
    <cacheHierarchy uniqueName="[Measures].[Total Orders]" caption="Total Orders" measure="1" displayFolder="" measureGroup="Sales" count="0" oneField="1">
      <fieldsUsage count="1">
        <fieldUsage x="2"/>
      </fieldsUsage>
    </cacheHierarchy>
    <cacheHierarchy uniqueName="[Measures].[Returned Orders]" caption="Returned Orders" measure="1" displayFolder="" measureGroup="Sales" count="0" oneField="1">
      <fieldsUsage count="1">
        <fieldUsage x="6"/>
      </fieldsUsage>
    </cacheHierarchy>
    <cacheHierarchy uniqueName="[Measures].[Return Rate]" caption="Return Rate" measure="1" displayFolder="" measureGroup="Sales" count="0" oneField="1">
      <fieldsUsage count="1">
        <fieldUsage x="7"/>
      </fieldsUsage>
    </cacheHierarchy>
    <cacheHierarchy uniqueName="[Measures].[Avg. Discount]" caption="Avg. Discount" measure="1" displayFolder="" measureGroup="Sales" count="0"/>
    <cacheHierarchy uniqueName="[Measures].[Avg. Order Quantity]" caption="Avg. Order Quantity" measure="1" displayFolder="" measureGroup="Sales" count="0"/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 oneField="1">
      <fieldsUsage count="1">
        <fieldUsage x="3"/>
      </fieldsUsage>
    </cacheHierarchy>
    <cacheHierarchy uniqueName="[Measures].[Delayed Orders]" caption="Delayed Orders" measure="1" displayFolder="" measureGroup="Sales" count="0" oneField="1">
      <fieldsUsage count="1">
        <fieldUsage x="4"/>
      </fieldsUsage>
    </cacheHierarchy>
    <cacheHierarchy uniqueName="[Measures].[Delay Rate]" caption="Delay Rate" measure="1" displayFolder="" measureGroup="Sales" count="0" oneField="1">
      <fieldsUsage count="1">
        <fieldUsage x="5"/>
      </fieldsUsage>
    </cacheHierarchy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3.560739930559" backgroundQuery="1" createdVersion="8" refreshedVersion="8" minRefreshableVersion="3" recordCount="0" supportSubquery="1" supportAdvancedDrill="1" xr:uid="{4D290095-E203-4E39-8AAC-B55B02C95448}">
  <cacheSource type="external" connectionId="1"/>
  <cacheFields count="3">
    <cacheField name="[Sales].[Promotion].[Promotion]" caption="Promotion" numFmtId="0" hierarchy="11" level="1">
      <sharedItems count="4">
        <s v="FREESHIP"/>
        <s v="None"/>
        <s v="SAVE10"/>
        <s v="WINTER15"/>
      </sharedItems>
    </cacheField>
    <cacheField name="[Measures].[Total Orders]" caption="Total Orders" numFmtId="0" hierarchy="25" level="32767"/>
    <cacheField name="[Measures].[Total Revenue]" caption="Total Revenue" numFmtId="0" hierarchy="24" level="32767"/>
  </cacheFields>
  <cacheHierarchies count="36">
    <cacheHierarchy uniqueName="[Sales].[Date]" caption="Date" attribute="1" time="1" defaultMemberUniqueName="[Sales].[Date].[All]" allUniqueName="[Sales].[Date].[All]" dimensionUniqueName="[Sales]" displayFolder="" count="2" memberValueDatatype="7" unbalanced="0"/>
    <cacheHierarchy uniqueName="[Sales].[Region]" caption="Region" attribute="1" defaultMemberUniqueName="[Sales].[Region].[All]" allUniqueName="[Sales].[Region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0" memberValueDatatype="130" unbalanced="0"/>
    <cacheHierarchy uniqueName="[Sales].[CustomerType]" caption="CustomerType" attribute="1" defaultMemberUniqueName="[Sales].[CustomerType].[All]" allUniqueName="[Sales].[CustomerType].[All]" dimensionUniqueName="[Sales]" displayFolder="" count="0" memberValueDatatype="130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0" memberValueDatatype="130" unbalanced="0"/>
    <cacheHierarchy uniqueName="[Sales].[TotalPrice]" caption="TotalPrice" attribute="1" defaultMemberUniqueName="[Sales].[TotalPrice].[All]" allUniqueName="[Sales].[TotalPrice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Returned]" caption="Returned" attribute="1" defaultMemberUniqueName="[Sales].[Returned].[All]" allUniqueName="[Sales].[Returned].[All]" dimensionUniqueName="[Sale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0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0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0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0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0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0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Delivery Days]" caption="Max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Sales" count="0" oneField="1">
      <fieldsUsage count="1">
        <fieldUsage x="2"/>
      </fieldsUsage>
    </cacheHierarchy>
    <cacheHierarchy uniqueName="[Measures].[Total Orders]" caption="Total Orders" measure="1" displayFolder="" measureGroup="Sales" count="0" oneField="1">
      <fieldsUsage count="1">
        <fieldUsage x="1"/>
      </fieldsUsage>
    </cacheHierarchy>
    <cacheHierarchy uniqueName="[Measures].[Returned Orders]" caption="Returned Orders" measure="1" displayFolder="" measureGroup="Sales" count="0"/>
    <cacheHierarchy uniqueName="[Measures].[Return Rate]" caption="Return Rate" measure="1" displayFolder="" measureGroup="Sales" count="0"/>
    <cacheHierarchy uniqueName="[Measures].[Avg. Discount]" caption="Avg. Discount" measure="1" displayFolder="" measureGroup="Sales" count="0"/>
    <cacheHierarchy uniqueName="[Measures].[Avg. Order Quantity]" caption="Avg. Order Quantity" measure="1" displayFolder="" measureGroup="Sales" count="0"/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/>
    <cacheHierarchy uniqueName="[Measures].[Delayed Orders]" caption="Delayed Orders" measure="1" displayFolder="" measureGroup="Sales" count="0"/>
    <cacheHierarchy uniqueName="[Measures].[Delay Rate]" caption="Delay Rate" measure="1" displayFolder="" measureGroup="Sales" count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3.56074050926" backgroundQuery="1" createdVersion="8" refreshedVersion="8" minRefreshableVersion="3" recordCount="0" supportSubquery="1" supportAdvancedDrill="1" xr:uid="{460BF81A-0969-46CB-AD4A-FA5EF6AC8864}">
  <cacheSource type="external" connectionId="1"/>
  <cacheFields count="3">
    <cacheField name="[Measures].[Avg. Discount]" caption="Avg. Discount" numFmtId="0" hierarchy="28" level="32767"/>
    <cacheField name="[Measures].[Avg. Order Quantity]" caption="Avg. Order Quantity" numFmtId="0" hierarchy="29" level="32767"/>
    <cacheField name="[Sales].[Promotion].[Promotion]" caption="Promotion" numFmtId="0" hierarchy="11" level="1">
      <sharedItems count="4">
        <s v="FREESHIP"/>
        <s v="None"/>
        <s v="SAVE10"/>
        <s v="WINTER15"/>
      </sharedItems>
    </cacheField>
  </cacheFields>
  <cacheHierarchies count="36">
    <cacheHierarchy uniqueName="[Sales].[Date]" caption="Date" attribute="1" time="1" defaultMemberUniqueName="[Sales].[Date].[All]" allUniqueName="[Sales].[Date].[All]" dimensionUniqueName="[Sales]" displayFolder="" count="2" memberValueDatatype="7" unbalanced="0"/>
    <cacheHierarchy uniqueName="[Sales].[Region]" caption="Region" attribute="1" defaultMemberUniqueName="[Sales].[Region].[All]" allUniqueName="[Sales].[Region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0" memberValueDatatype="130" unbalanced="0"/>
    <cacheHierarchy uniqueName="[Sales].[CustomerType]" caption="CustomerType" attribute="1" defaultMemberUniqueName="[Sales].[CustomerType].[All]" allUniqueName="[Sales].[CustomerType].[All]" dimensionUniqueName="[Sales]" displayFolder="" count="0" memberValueDatatype="130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0" memberValueDatatype="130" unbalanced="0"/>
    <cacheHierarchy uniqueName="[Sales].[TotalPrice]" caption="TotalPrice" attribute="1" defaultMemberUniqueName="[Sales].[TotalPrice].[All]" allUniqueName="[Sales].[TotalPrice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2" memberValueDatatype="130" unbalanced="0">
      <fieldsUsage count="2">
        <fieldUsage x="-1"/>
        <fieldUsage x="2"/>
      </fieldsUsage>
    </cacheHierarchy>
    <cacheHierarchy uniqueName="[Sales].[Returned]" caption="Returned" attribute="1" defaultMemberUniqueName="[Sales].[Returned].[All]" allUniqueName="[Sales].[Returned].[All]" dimensionUniqueName="[Sale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0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0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0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0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0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0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Delivery Days]" caption="Max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Sales" count="0"/>
    <cacheHierarchy uniqueName="[Measures].[Total Orders]" caption="Total Orders" measure="1" displayFolder="" measureGroup="Sales" count="0"/>
    <cacheHierarchy uniqueName="[Measures].[Returned Orders]" caption="Returned Orders" measure="1" displayFolder="" measureGroup="Sales" count="0"/>
    <cacheHierarchy uniqueName="[Measures].[Return Rate]" caption="Return Rate" measure="1" displayFolder="" measureGroup="Sales" count="0"/>
    <cacheHierarchy uniqueName="[Measures].[Avg. Discount]" caption="Avg. Discount" measure="1" displayFolder="" measureGroup="Sales" count="0" oneField="1">
      <fieldsUsage count="1">
        <fieldUsage x="0"/>
      </fieldsUsage>
    </cacheHierarchy>
    <cacheHierarchy uniqueName="[Measures].[Avg. Order Quantity]" caption="Avg. Order Quantity" measure="1" displayFolder="" measureGroup="Sales" count="0" oneField="1">
      <fieldsUsage count="1">
        <fieldUsage x="1"/>
      </fieldsUsage>
    </cacheHierarchy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/>
    <cacheHierarchy uniqueName="[Measures].[Delayed Orders]" caption="Delayed Orders" measure="1" displayFolder="" measureGroup="Sales" count="0"/>
    <cacheHierarchy uniqueName="[Measures].[Delay Rate]" caption="Delay Rate" measure="1" displayFolder="" measureGroup="Sales" count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3.560740972222" backgroundQuery="1" createdVersion="8" refreshedVersion="8" minRefreshableVersion="3" recordCount="0" supportSubquery="1" supportAdvancedDrill="1" xr:uid="{64A3E177-57A2-4097-A366-5CD530062777}">
  <cacheSource type="external" connectionId="1"/>
  <cacheFields count="4">
    <cacheField name="[Sales].[Region].[Region]" caption="Region" numFmtId="0" hierarchy="1" level="1">
      <sharedItems count="5">
        <s v="Central"/>
        <s v="East"/>
        <s v="North"/>
        <s v="South"/>
        <s v="West"/>
      </sharedItems>
    </cacheField>
    <cacheField name="[Measures].[Avg. Delivery Days]" caption="Avg. Delivery Days" numFmtId="0" hierarchy="31" level="32767"/>
    <cacheField name="[Measures].[Max of Delivery Days]" caption="Max of Delivery Days" numFmtId="0" hierarchy="23" level="32767"/>
    <cacheField name="[Measures].[Total Orders]" caption="Total Orders" numFmtId="0" hierarchy="25" level="32767"/>
  </cacheFields>
  <cacheHierarchies count="36">
    <cacheHierarchy uniqueName="[Sales].[Date]" caption="Date" attribute="1" time="1" defaultMemberUniqueName="[Sales].[Date].[All]" allUniqueName="[Sales].[Date].[All]" dimensionUniqueName="[Sales]" displayFolder="" count="2" memberValueDatatype="7" unbalanced="0"/>
    <cacheHierarchy uniqueName="[Sales].[Region]" caption="Region" attribute="1" defaultMemberUniqueName="[Sales].[Region].[All]" allUniqueName="[Sales].[Regi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0" memberValueDatatype="130" unbalanced="0"/>
    <cacheHierarchy uniqueName="[Sales].[CustomerType]" caption="CustomerType" attribute="1" defaultMemberUniqueName="[Sales].[CustomerType].[All]" allUniqueName="[Sales].[CustomerType].[All]" dimensionUniqueName="[Sales]" displayFolder="" count="0" memberValueDatatype="130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0" memberValueDatatype="130" unbalanced="0"/>
    <cacheHierarchy uniqueName="[Sales].[TotalPrice]" caption="TotalPrice" attribute="1" defaultMemberUniqueName="[Sales].[TotalPrice].[All]" allUniqueName="[Sales].[TotalPrice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0" memberValueDatatype="130" unbalanced="0"/>
    <cacheHierarchy uniqueName="[Sales].[Returned]" caption="Returned" attribute="1" defaultMemberUniqueName="[Sales].[Returned].[All]" allUniqueName="[Sales].[Returned].[All]" dimensionUniqueName="[Sale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0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0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0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0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0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0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Delivery Days]" caption="Max of Delivery Days" measure="1" displayFolder="" measureGroup="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Sales" count="0"/>
    <cacheHierarchy uniqueName="[Measures].[Total Orders]" caption="Total Orders" measure="1" displayFolder="" measureGroup="Sales" count="0" oneField="1">
      <fieldsUsage count="1">
        <fieldUsage x="3"/>
      </fieldsUsage>
    </cacheHierarchy>
    <cacheHierarchy uniqueName="[Measures].[Returned Orders]" caption="Returned Orders" measure="1" displayFolder="" measureGroup="Sales" count="0"/>
    <cacheHierarchy uniqueName="[Measures].[Return Rate]" caption="Return Rate" measure="1" displayFolder="" measureGroup="Sales" count="0"/>
    <cacheHierarchy uniqueName="[Measures].[Avg. Discount]" caption="Avg. Discount" measure="1" displayFolder="" measureGroup="Sales" count="0"/>
    <cacheHierarchy uniqueName="[Measures].[Avg. Order Quantity]" caption="Avg. Order Quantity" measure="1" displayFolder="" measureGroup="Sales" count="0"/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 oneField="1">
      <fieldsUsage count="1">
        <fieldUsage x="1"/>
      </fieldsUsage>
    </cacheHierarchy>
    <cacheHierarchy uniqueName="[Measures].[Delayed Orders]" caption="Delayed Orders" measure="1" displayFolder="" measureGroup="Sales" count="0"/>
    <cacheHierarchy uniqueName="[Measures].[Delay Rate]" caption="Delay Rate" measure="1" displayFolder="" measureGroup="Sales" count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3.560741435183" backgroundQuery="1" createdVersion="8" refreshedVersion="8" minRefreshableVersion="3" recordCount="0" supportSubquery="1" supportAdvancedDrill="1" xr:uid="{71A36885-20D8-4D9D-9EA4-DC8A0D6CFF71}">
  <cacheSource type="external" connectionId="1"/>
  <cacheFields count="4">
    <cacheField name="[Sales].[Region].[Region]" caption="Region" numFmtId="0" hierarchy="1" level="1">
      <sharedItems count="5">
        <s v="Central"/>
        <s v="East"/>
        <s v="North"/>
        <s v="South"/>
        <s v="West"/>
      </sharedItems>
    </cacheField>
    <cacheField name="[Measures].[Delayed Orders]" caption="Delayed Orders" numFmtId="0" hierarchy="32" level="32767"/>
    <cacheField name="[Measures].[Total Orders]" caption="Total Orders" numFmtId="0" hierarchy="25" level="32767"/>
    <cacheField name="[Measures].[Delay Rate]" caption="Delay Rate" numFmtId="0" hierarchy="33" level="32767"/>
  </cacheFields>
  <cacheHierarchies count="36">
    <cacheHierarchy uniqueName="[Sales].[Date]" caption="Date" attribute="1" time="1" defaultMemberUniqueName="[Sales].[Date].[All]" allUniqueName="[Sales].[Date].[All]" dimensionUniqueName="[Sales]" displayFolder="" count="2" memberValueDatatype="7" unbalanced="0"/>
    <cacheHierarchy uniqueName="[Sales].[Region]" caption="Region" attribute="1" defaultMemberUniqueName="[Sales].[Region].[All]" allUniqueName="[Sales].[Regi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0" memberValueDatatype="130" unbalanced="0"/>
    <cacheHierarchy uniqueName="[Sales].[CustomerType]" caption="CustomerType" attribute="1" defaultMemberUniqueName="[Sales].[CustomerType].[All]" allUniqueName="[Sales].[CustomerType].[All]" dimensionUniqueName="[Sales]" displayFolder="" count="0" memberValueDatatype="130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0" memberValueDatatype="130" unbalanced="0"/>
    <cacheHierarchy uniqueName="[Sales].[TotalPrice]" caption="TotalPrice" attribute="1" defaultMemberUniqueName="[Sales].[TotalPrice].[All]" allUniqueName="[Sales].[TotalPrice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0" memberValueDatatype="130" unbalanced="0"/>
    <cacheHierarchy uniqueName="[Sales].[Returned]" caption="Returned" attribute="1" defaultMemberUniqueName="[Sales].[Returned].[All]" allUniqueName="[Sales].[Returned].[All]" dimensionUniqueName="[Sale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0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0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0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0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0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0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Delivery Days]" caption="Max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Sales" count="0"/>
    <cacheHierarchy uniqueName="[Measures].[Total Orders]" caption="Total Orders" measure="1" displayFolder="" measureGroup="Sales" count="0" oneField="1">
      <fieldsUsage count="1">
        <fieldUsage x="2"/>
      </fieldsUsage>
    </cacheHierarchy>
    <cacheHierarchy uniqueName="[Measures].[Returned Orders]" caption="Returned Orders" measure="1" displayFolder="" measureGroup="Sales" count="0"/>
    <cacheHierarchy uniqueName="[Measures].[Return Rate]" caption="Return Rate" measure="1" displayFolder="" measureGroup="Sales" count="0"/>
    <cacheHierarchy uniqueName="[Measures].[Avg. Discount]" caption="Avg. Discount" measure="1" displayFolder="" measureGroup="Sales" count="0"/>
    <cacheHierarchy uniqueName="[Measures].[Avg. Order Quantity]" caption="Avg. Order Quantity" measure="1" displayFolder="" measureGroup="Sales" count="0"/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/>
    <cacheHierarchy uniqueName="[Measures].[Delayed Orders]" caption="Delayed Orders" measure="1" displayFolder="" measureGroup="Sales" count="0" oneField="1">
      <fieldsUsage count="1">
        <fieldUsage x="1"/>
      </fieldsUsage>
    </cacheHierarchy>
    <cacheHierarchy uniqueName="[Measures].[Delay Rate]" caption="Delay Rate" measure="1" displayFolder="" measureGroup="Sales" count="0" oneField="1">
      <fieldsUsage count="1">
        <fieldUsage x="3"/>
      </fieldsUsage>
    </cacheHierarchy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3.560741782407" backgroundQuery="1" createdVersion="8" refreshedVersion="8" minRefreshableVersion="3" recordCount="0" supportSubquery="1" supportAdvancedDrill="1" xr:uid="{6E9E1C1E-90AE-4BD9-BF54-9E3CF1C468CA}">
  <cacheSource type="external" connectionId="1"/>
  <cacheFields count="3">
    <cacheField name="[Sales].[Region].[Region]" caption="Region" numFmtId="0" hierarchy="1" level="1">
      <sharedItems count="5">
        <s v="Central"/>
        <s v="East"/>
        <s v="North"/>
        <s v="South"/>
        <s v="West"/>
      </sharedItems>
    </cacheField>
    <cacheField name="[Measures].[Total Revenue]" caption="Total Revenue" numFmtId="0" hierarchy="24" level="32767"/>
    <cacheField name="[Sales].[StoreLocation].[StoreLocation]" caption="StoreLocation" numFmtId="0" hierarchy="5" level="1">
      <sharedItems count="4">
        <s v="Store A"/>
        <s v="Store B"/>
        <s v="Store C"/>
        <s v="Store D"/>
      </sharedItems>
    </cacheField>
  </cacheFields>
  <cacheHierarchies count="36">
    <cacheHierarchy uniqueName="[Sales].[Date]" caption="Date" attribute="1" time="1" defaultMemberUniqueName="[Sales].[Date].[All]" allUniqueName="[Sales].[Date].[All]" dimensionUniqueName="[Sales]" displayFolder="" count="2" memberValueDatatype="7" unbalanced="0"/>
    <cacheHierarchy uniqueName="[Sales].[Region]" caption="Region" attribute="1" defaultMemberUniqueName="[Sales].[Region].[All]" allUniqueName="[Sales].[Regi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2" memberValueDatatype="130" unbalanced="0">
      <fieldsUsage count="2">
        <fieldUsage x="-1"/>
        <fieldUsage x="2"/>
      </fieldsUsage>
    </cacheHierarchy>
    <cacheHierarchy uniqueName="[Sales].[CustomerType]" caption="CustomerType" attribute="1" defaultMemberUniqueName="[Sales].[CustomerType].[All]" allUniqueName="[Sales].[CustomerType].[All]" dimensionUniqueName="[Sales]" displayFolder="" count="0" memberValueDatatype="130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0" memberValueDatatype="130" unbalanced="0"/>
    <cacheHierarchy uniqueName="[Sales].[TotalPrice]" caption="TotalPrice" attribute="1" defaultMemberUniqueName="[Sales].[TotalPrice].[All]" allUniqueName="[Sales].[TotalPrice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0" memberValueDatatype="130" unbalanced="0"/>
    <cacheHierarchy uniqueName="[Sales].[Returned]" caption="Returned" attribute="1" defaultMemberUniqueName="[Sales].[Returned].[All]" allUniqueName="[Sales].[Returned].[All]" dimensionUniqueName="[Sale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0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0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0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0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0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0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Delivery Days]" caption="Max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Sales" count="0" oneField="1">
      <fieldsUsage count="1">
        <fieldUsage x="1"/>
      </fieldsUsage>
    </cacheHierarchy>
    <cacheHierarchy uniqueName="[Measures].[Total Orders]" caption="Total Orders" measure="1" displayFolder="" measureGroup="Sales" count="0"/>
    <cacheHierarchy uniqueName="[Measures].[Returned Orders]" caption="Returned Orders" measure="1" displayFolder="" measureGroup="Sales" count="0"/>
    <cacheHierarchy uniqueName="[Measures].[Return Rate]" caption="Return Rate" measure="1" displayFolder="" measureGroup="Sales" count="0"/>
    <cacheHierarchy uniqueName="[Measures].[Avg. Discount]" caption="Avg. Discount" measure="1" displayFolder="" measureGroup="Sales" count="0"/>
    <cacheHierarchy uniqueName="[Measures].[Avg. Order Quantity]" caption="Avg. Order Quantity" measure="1" displayFolder="" measureGroup="Sales" count="0"/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/>
    <cacheHierarchy uniqueName="[Measures].[Delayed Orders]" caption="Delayed Orders" measure="1" displayFolder="" measureGroup="Sales" count="0"/>
    <cacheHierarchy uniqueName="[Measures].[Delay Rate]" caption="Delay Rate" measure="1" displayFolder="" measureGroup="Sales" count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3.560742361115" backgroundQuery="1" createdVersion="8" refreshedVersion="8" minRefreshableVersion="3" recordCount="0" supportSubquery="1" supportAdvancedDrill="1" xr:uid="{A6352E12-C8F5-46E7-AB7D-3CDE8BD845AD}">
  <cacheSource type="external" connectionId="1"/>
  <cacheFields count="4">
    <cacheField name="[Sales].[Salesperson].[Salesperson]" caption="Salesperson" numFmtId="0" hierarchy="8" level="1">
      <sharedItems count="6">
        <s v="Alice"/>
        <s v="Bob"/>
        <s v="Carlos"/>
        <s v="Diana"/>
        <s v="Eva"/>
        <s v="Frank"/>
      </sharedItems>
    </cacheField>
    <cacheField name="[Measures].[Total Orders]" caption="Total Orders" numFmtId="0" hierarchy="25" level="32767"/>
    <cacheField name="[Measures].[Returned Orders]" caption="Returned Orders" numFmtId="0" hierarchy="26" level="32767"/>
    <cacheField name="[Measures].[Return Rate]" caption="Return Rate" numFmtId="0" hierarchy="27" level="32767"/>
  </cacheFields>
  <cacheHierarchies count="36">
    <cacheHierarchy uniqueName="[Sales].[Date]" caption="Date" attribute="1" time="1" defaultMemberUniqueName="[Sales].[Date].[All]" allUniqueName="[Sales].[Date].[All]" dimensionUniqueName="[Sales]" displayFolder="" count="2" memberValueDatatype="7" unbalanced="0"/>
    <cacheHierarchy uniqueName="[Sales].[Region]" caption="Region" attribute="1" defaultMemberUniqueName="[Sales].[Region].[All]" allUniqueName="[Sales].[Region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0" memberValueDatatype="130" unbalanced="0"/>
    <cacheHierarchy uniqueName="[Sales].[CustomerType]" caption="CustomerType" attribute="1" defaultMemberUniqueName="[Sales].[CustomerType].[All]" allUniqueName="[Sales].[CustomerType].[All]" dimensionUniqueName="[Sales]" displayFolder="" count="0" memberValueDatatype="130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TotalPrice]" caption="TotalPrice" attribute="1" defaultMemberUniqueName="[Sales].[TotalPrice].[All]" allUniqueName="[Sales].[TotalPrice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0" memberValueDatatype="130" unbalanced="0"/>
    <cacheHierarchy uniqueName="[Sales].[Returned]" caption="Returned" attribute="1" defaultMemberUniqueName="[Sales].[Returned].[All]" allUniqueName="[Sales].[Returned].[All]" dimensionUniqueName="[Sale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0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0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0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0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0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0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Delivery Days]" caption="Max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Sales" count="0"/>
    <cacheHierarchy uniqueName="[Measures].[Total Orders]" caption="Total Orders" measure="1" displayFolder="" measureGroup="Sales" count="0" oneField="1">
      <fieldsUsage count="1">
        <fieldUsage x="1"/>
      </fieldsUsage>
    </cacheHierarchy>
    <cacheHierarchy uniqueName="[Measures].[Returned Orders]" caption="Returned Orders" measure="1" displayFolder="" measureGroup="Sales" count="0" oneField="1">
      <fieldsUsage count="1">
        <fieldUsage x="2"/>
      </fieldsUsage>
    </cacheHierarchy>
    <cacheHierarchy uniqueName="[Measures].[Return Rate]" caption="Return Rate" measure="1" displayFolder="" measureGroup="Sales" count="0" oneField="1">
      <fieldsUsage count="1">
        <fieldUsage x="3"/>
      </fieldsUsage>
    </cacheHierarchy>
    <cacheHierarchy uniqueName="[Measures].[Avg. Discount]" caption="Avg. Discount" measure="1" displayFolder="" measureGroup="Sales" count="0"/>
    <cacheHierarchy uniqueName="[Measures].[Avg. Order Quantity]" caption="Avg. Order Quantity" measure="1" displayFolder="" measureGroup="Sales" count="0"/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/>
    <cacheHierarchy uniqueName="[Measures].[Delayed Orders]" caption="Delayed Orders" measure="1" displayFolder="" measureGroup="Sales" count="0"/>
    <cacheHierarchy uniqueName="[Measures].[Delay Rate]" caption="Delay Rate" measure="1" displayFolder="" measureGroup="Sales" count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3.560742824076" backgroundQuery="1" createdVersion="8" refreshedVersion="8" minRefreshableVersion="3" recordCount="0" supportSubquery="1" supportAdvancedDrill="1" xr:uid="{CFC925BC-EC0D-42B4-9217-92616BFCBEFC}">
  <cacheSource type="external" connectionId="1"/>
  <cacheFields count="3">
    <cacheField name="[Sales].[Region].[Region]" caption="Region" numFmtId="0" hierarchy="1" level="1">
      <sharedItems count="5">
        <s v="Central"/>
        <s v="East"/>
        <s v="North"/>
        <s v="South"/>
        <s v="West"/>
      </sharedItems>
    </cacheField>
    <cacheField name="[Measures].[Return Rate]" caption="Return Rate" numFmtId="0" hierarchy="27" level="32767"/>
    <cacheField name="[Measures].[Delay Rate]" caption="Delay Rate" numFmtId="0" hierarchy="33" level="32767"/>
  </cacheFields>
  <cacheHierarchies count="36">
    <cacheHierarchy uniqueName="[Sales].[Date]" caption="Date" attribute="1" time="1" defaultMemberUniqueName="[Sales].[Date].[All]" allUniqueName="[Sales].[Date].[All]" dimensionUniqueName="[Sales]" displayFolder="" count="2" memberValueDatatype="7" unbalanced="0"/>
    <cacheHierarchy uniqueName="[Sales].[Region]" caption="Region" attribute="1" defaultMemberUniqueName="[Sales].[Region].[All]" allUniqueName="[Sales].[Regi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0" memberValueDatatype="130" unbalanced="0"/>
    <cacheHierarchy uniqueName="[Sales].[CustomerType]" caption="CustomerType" attribute="1" defaultMemberUniqueName="[Sales].[CustomerType].[All]" allUniqueName="[Sales].[CustomerType].[All]" dimensionUniqueName="[Sales]" displayFolder="" count="0" memberValueDatatype="130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0" memberValueDatatype="130" unbalanced="0"/>
    <cacheHierarchy uniqueName="[Sales].[TotalPrice]" caption="TotalPrice" attribute="1" defaultMemberUniqueName="[Sales].[TotalPrice].[All]" allUniqueName="[Sales].[TotalPrice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0" memberValueDatatype="130" unbalanced="0"/>
    <cacheHierarchy uniqueName="[Sales].[Returned]" caption="Returned" attribute="1" defaultMemberUniqueName="[Sales].[Returned].[All]" allUniqueName="[Sales].[Returned].[All]" dimensionUniqueName="[Sales]" displayFolder="" count="0" memberValueDatatype="2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0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0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0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0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0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0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Delivery Days]" caption="Max of Delivery Days" measure="1" displayFolder="" measureGroup="Sale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Total Revenue]" caption="Total Revenue" measure="1" displayFolder="" measureGroup="Sales" count="0"/>
    <cacheHierarchy uniqueName="[Measures].[Total Orders]" caption="Total Orders" measure="1" displayFolder="" measureGroup="Sales" count="0"/>
    <cacheHierarchy uniqueName="[Measures].[Returned Orders]" caption="Returned Orders" measure="1" displayFolder="" measureGroup="Sales" count="0"/>
    <cacheHierarchy uniqueName="[Measures].[Return Rate]" caption="Return Rate" measure="1" displayFolder="" measureGroup="Sales" count="0" oneField="1">
      <fieldsUsage count="1">
        <fieldUsage x="1"/>
      </fieldsUsage>
    </cacheHierarchy>
    <cacheHierarchy uniqueName="[Measures].[Avg. Discount]" caption="Avg. Discount" measure="1" displayFolder="" measureGroup="Sales" count="0"/>
    <cacheHierarchy uniqueName="[Measures].[Avg. Order Quantity]" caption="Avg. Order Quantity" measure="1" displayFolder="" measureGroup="Sales" count="0"/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/>
    <cacheHierarchy uniqueName="[Measures].[Delayed Orders]" caption="Delayed Orders" measure="1" displayFolder="" measureGroup="Sales" count="0"/>
    <cacheHierarchy uniqueName="[Measures].[Delay Rate]" caption="Delay Rate" measure="1" displayFolder="" measureGroup="Sales" count="0" oneField="1">
      <fieldsUsage count="1">
        <fieldUsage x="2"/>
      </fieldsUsage>
    </cacheHierarchy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XNXC. G" refreshedDate="46193.548654513892" backgroundQuery="1" createdVersion="3" refreshedVersion="8" minRefreshableVersion="3" recordCount="0" supportSubquery="1" supportAdvancedDrill="1" xr:uid="{DC5122AC-FB9E-4EEC-9701-238ED6A17D0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7">
    <cacheHierarchy uniqueName="[Measures]" caption="Measures" attribute="1" keyAttribute="1" defaultMemberUniqueName="[Measures].[__No measures defined]" dimensionUniqueName="[Measures]" displayFolder="" measures="1" count="1" memberValueDatatype="130" unbalanced="0"/>
    <cacheHierarchy uniqueName="[Sales].[Date]" caption="Date" attribute="1" time="1" defaultMemberUniqueName="[Sales].[Date].[All]" allUniqueName="[Sales].[Date].[All]" dimensionUniqueName="[Sales]" displayFolder="" count="2" memberValueDatatype="7" unbalanced="0"/>
    <cacheHierarchy uniqueName="[Sales].[Region]" caption="Region" attribute="1" defaultMemberUniqueName="[Sales].[Region].[All]" allUniqueName="[Sales].[Region].[All]" dimensionUniqueName="[Sales]" displayFolder="" count="2" memberValueDatatype="130" unbalanced="0"/>
    <cacheHierarchy uniqueName="[Sales].[Product]" caption="Product" attribute="1" defaultMemberUniqueName="[Sales].[Product].[All]" allUniqueName="[Sales].[Product].[All]" dimensionUniqueName="[Sales]" displayFolder="" count="2" memberValueDatatype="130" unbalanced="0"/>
    <cacheHierarchy uniqueName="[Sales].[Quantity]" caption="Quantity" attribute="1" defaultMemberUniqueName="[Sales].[Quantity].[All]" allUniqueName="[Sales].[Quantity].[All]" dimensionUniqueName="[Sales]" displayFolder="" count="2" memberValueDatatype="20" unbalanced="0"/>
    <cacheHierarchy uniqueName="[Sales].[UnitPrice]" caption="UnitPrice" attribute="1" defaultMemberUniqueName="[Sales].[UnitPrice].[All]" allUniqueName="[Sales].[UnitPrice].[All]" dimensionUniqueName="[Sales]" displayFolder="" count="2" memberValueDatatype="5" unbalanced="0"/>
    <cacheHierarchy uniqueName="[Sales].[StoreLocation]" caption="StoreLocation" attribute="1" defaultMemberUniqueName="[Sales].[StoreLocation].[All]" allUniqueName="[Sales].[StoreLocation].[All]" dimensionUniqueName="[Sales]" displayFolder="" count="2" memberValueDatatype="130" unbalanced="0"/>
    <cacheHierarchy uniqueName="[Sales].[CustomerType]" caption="CustomerType" attribute="1" defaultMemberUniqueName="[Sales].[CustomerType].[All]" allUniqueName="[Sales].[CustomerType].[All]" dimensionUniqueName="[Sales]" displayFolder="" count="2" memberValueDatatype="130" unbalanced="0"/>
    <cacheHierarchy uniqueName="[Sales].[Discount]" caption="Discount" attribute="1" defaultMemberUniqueName="[Sales].[Discount].[All]" allUniqueName="[Sales].[Discount].[All]" dimensionUniqueName="[Sales]" displayFolder="" count="2" memberValueDatatype="5" unbalanced="0"/>
    <cacheHierarchy uniqueName="[Sales].[Salesperson]" caption="Salesperson" attribute="1" defaultMemberUniqueName="[Sales].[Salesperson].[All]" allUniqueName="[Sales].[Salesperson].[All]" dimensionUniqueName="[Sales]" displayFolder="" count="2" memberValueDatatype="130" unbalanced="0"/>
    <cacheHierarchy uniqueName="[Sales].[TotalPrice]" caption="TotalPrice" attribute="1" defaultMemberUniqueName="[Sales].[TotalPrice].[All]" allUniqueName="[Sales].[TotalPrice].[All]" dimensionUniqueName="[Sales]" displayFolder="" count="2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2" memberValueDatatype="130" unbalanced="0"/>
    <cacheHierarchy uniqueName="[Sales].[Promotion]" caption="Promotion" attribute="1" defaultMemberUniqueName="[Sales].[Promotion].[All]" allUniqueName="[Sales].[Promotion].[All]" dimensionUniqueName="[Sales]" displayFolder="" count="2" memberValueDatatype="130" unbalanced="0"/>
    <cacheHierarchy uniqueName="[Sales].[Returned]" caption="Returned" attribute="1" defaultMemberUniqueName="[Sales].[Returned].[All]" allUniqueName="[Sales].[Returned].[All]" dimensionUniqueName="[Sales]" displayFolder="" count="2" memberValueDatatype="20" unbalanced="0"/>
    <cacheHierarchy uniqueName="[Sales].[OrderID]" caption="OrderID" attribute="1" defaultMemberUniqueName="[Sales].[OrderID].[All]" allUniqueName="[Sales].[OrderID].[All]" dimensionUniqueName="[Sales]" displayFolder="" count="2" memberValueDatatype="130" unbalanced="0"/>
    <cacheHierarchy uniqueName="[Sales].[CustomerName]" caption="CustomerName" attribute="1" defaultMemberUniqueName="[Sales].[CustomerName].[All]" allUniqueName="[Sales].[CustomerName].[All]" dimensionUniqueName="[Sales]" displayFolder="" count="2" memberValueDatatype="130" unbalanced="0"/>
    <cacheHierarchy uniqueName="[Sales].[ShippingCost]" caption="ShippingCost" attribute="1" defaultMemberUniqueName="[Sales].[ShippingCost].[All]" allUniqueName="[Sales].[ShippingCost].[All]" dimensionUniqueName="[Sales]" displayFolder="" count="2" memberValueDatatype="5" unbalanced="0"/>
    <cacheHierarchy uniqueName="[Sales].[OrderDate]" caption="OrderDate" attribute="1" time="1" defaultMemberUniqueName="[Sales].[OrderDate].[All]" allUniqueName="[Sales].[OrderDate].[All]" dimensionUniqueName="[Sales]" displayFolder="" count="2" memberValueDatatype="7" unbalanced="0"/>
    <cacheHierarchy uniqueName="[Sales].[DeliveryDate]" caption="DeliveryDate" attribute="1" time="1" defaultMemberUniqueName="[Sales].[DeliveryDate].[All]" allUniqueName="[Sales].[DeliveryDate].[All]" dimensionUniqueName="[Sales]" displayFolder="" count="2" memberValueDatatype="7" unbalanced="0"/>
    <cacheHierarchy uniqueName="[Sales].[Delivery Days]" caption="Delivery Days" attribute="1" defaultMemberUniqueName="[Sales].[Delivery Days].[All]" allUniqueName="[Sales].[Delivery Days].[All]" dimensionUniqueName="[Sales]" displayFolder="" count="2" memberValueDatatype="20" unbalanced="0"/>
    <cacheHierarchy uniqueName="[Sales].[Delivery Status]" caption="Delivery Status" attribute="1" defaultMemberUniqueName="[Sales].[Delivery Status].[All]" allUniqueName="[Sales].[Delivery Status].[All]" dimensionUniqueName="[Sales]" displayFolder="" count="2" memberValueDatatype="130" unbalanced="0"/>
    <cacheHierarchy uniqueName="[Sales].[RegionManager]" caption="RegionManager" attribute="1" defaultMemberUniqueName="[Sales].[RegionManager].[All]" allUniqueName="[Sales].[RegionManager].[All]" dimensionUniqueName="[Sales]" displayFolder="" count="2" memberValueDatatype="130" unbalanced="0"/>
    <cacheHierarchy uniqueName="[Measures].[Sum of Discount]" caption="Sum of Discount" measure="1" displayFolder="" measureGroup="Sale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Delivery Days]" caption="Sum of Delivery Days" measure="1" displayFolder="" measureGroup="Sale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Delivery Days]" caption="Max of Delivery Days" measure="1" displayFolder="" measureGroup="Sale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Revenue]" caption="Total Revenue" measure="1" displayFolder="" measureGroup="Sales" count="0"/>
    <cacheHierarchy uniqueName="[Measures].[Total Orders]" caption="Total Orders" measure="1" displayFolder="" measureGroup="Sales" count="0"/>
    <cacheHierarchy uniqueName="[Measures].[Returned Orders]" caption="Returned Orders" measure="1" displayFolder="" measureGroup="Sales" count="0"/>
    <cacheHierarchy uniqueName="[Measures].[Return Rate]" caption="Return Rate" measure="1" displayFolder="" measureGroup="Sales" count="0"/>
    <cacheHierarchy uniqueName="[Measures].[Avg. Discount]" caption="Avg. Discount" measure="1" displayFolder="" measureGroup="Sales" count="0"/>
    <cacheHierarchy uniqueName="[Measures].[Avg. Order Quantity]" caption="Avg. Order Quantity" measure="1" displayFolder="" measureGroup="Sales" count="0"/>
    <cacheHierarchy uniqueName="[Measures].[Average Revenue]" caption="Average Revenue" measure="1" displayFolder="" measureGroup="Sales" count="0"/>
    <cacheHierarchy uniqueName="[Measures].[Avg. Delivery Days]" caption="Avg. Delivery Days" measure="1" displayFolder="" measureGroup="Sales" count="0"/>
    <cacheHierarchy uniqueName="[Measures].[Delayed Orders]" caption="Delayed Orders" measure="1" displayFolder="" measureGroup="Sales" count="0"/>
    <cacheHierarchy uniqueName="[Measures].[Delay Rate]" caption="Delay Rate" measure="1" displayFolder="" measureGroup="Sales" count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76519096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4C16B-D7CB-46F2-A84B-B907863C0FA4}" name="PivotTable9" cacheId="915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 rowHeaderCaption="Customer_Type">
  <location ref="Q36:S42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9"/>
    <dataField fld="2" subtotal="count" baseField="0" baseItem="0" numFmtId="10"/>
  </dataFields>
  <formats count="5">
    <format dxfId="12">
      <pivotArea outline="0" collapsedLevelsAreSubtotals="1" fieldPosition="0"/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0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0949E-4AD3-4161-BF8A-F77467B2AB64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ales Person">
  <location ref="F30:H37" firstHeaderRow="0" firstDataRow="1" firstDataCol="1"/>
  <pivotFields count="3">
    <pivotField dataField="1" subtotalTop="0" showAll="0" defaultSubtotal="0"/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0" subtotal="count" baseField="0" baseItem="0"/>
  </dataFields>
  <formats count="1">
    <format dxfId="14">
      <pivotArea collapsedLevelsAreSubtotals="1" fieldPosition="0">
        <references count="1">
          <reference field="1" count="0"/>
        </references>
      </pivotArea>
    </format>
  </format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D23CC-1E72-46B3-9AA5-87500B2BF28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Region">
  <location ref="A5:B1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formats count="1">
    <format dxfId="15">
      <pivotArea collapsedLevelsAreSubtotals="1" fieldPosition="0">
        <references count="1">
          <reference field="0" count="0"/>
        </references>
      </pivotArea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F44E0-3D69-48DE-884B-B14C2C85A418}" name="PivotTable16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ustomer_Type">
  <location ref="L36:O42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3" subtotal="count" baseField="0" baseItem="0"/>
    <dataField fld="1" subtotal="count" baseField="0" baseItem="0" numFmtId="10"/>
  </dataFields>
  <formats count="2">
    <format dxfId="16">
      <pivotArea outline="0" collapsedLevelsAreSubtotals="1" fieldPosition="0"/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4B2A5-0968-459D-B85A-00FD1B3272DE}" name="PivotTable11" cacheId="90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9" rowHeaderCaption="Customer_Type">
  <location ref="Q16:S21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formats count="1">
    <format dxfId="17">
      <pivotArea collapsedLevelsAreSubtotals="1" fieldPosition="0">
        <references count="1">
          <reference field="2" count="0"/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A4325-3AC9-466F-83B5-71AFBA8E709B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duct">
  <location ref="K5:L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/>
  </dataFields>
  <formats count="1">
    <format dxfId="18">
      <pivotArea collapsedLevelsAreSubtotals="1" fieldPosition="0">
        <references count="1">
          <reference field="1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6A7F4-2BA0-4338-852E-A332C439B892}" name="PivotTable7" cacheId="90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0" rowHeaderCaption="Region">
  <location ref="G16:L23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fld="1" subtotal="count" baseField="0" baseItem="0"/>
  </dataFields>
  <formats count="1">
    <format dxfId="19">
      <pivotArea collapsedLevelsAreSubtotals="1" fieldPosition="0">
        <references count="1">
          <reference field="0" count="0"/>
        </references>
      </pivotArea>
    </format>
  </formats>
  <chartFormats count="4"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B6596-224C-4FCC-9BAC-DB59E0BF800D}" name="PivotTable10" cacheId="897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0" rowHeaderCaption="Customer_Type">
  <location ref="Q8:S13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6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9C1F7-9244-4EF4-9815-48F05C539F94}" name="PivotTable12" cacheId="903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 rowHeaderCaption="Customer_Type">
  <location ref="Q28:T34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name="Max of Delivery Days" fld="2" subtotal="max" baseField="0" baseItem="0"/>
    <dataField fld="3" subtotal="count" baseField="0" baseItem="0"/>
  </dataFields>
  <formats count="1">
    <format dxfId="20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Delivery Day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2D7FB-31EE-4108-9F91-B482F1F16AB3}" name="PivotTable3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5" rowHeaderCaption="Customer_Type">
  <location ref="D5:G12" firstHeaderRow="1" firstDataRow="2" firstDataCol="1"/>
  <pivotFields count="3">
    <pivotField dataField="1" subtotalTop="0" showAll="0" defaultSubtotal="0"/>
    <pivotField axis="axisRow" allDrilled="1" subtotalTop="0" showAll="0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6">
    <i>
      <x v="1"/>
    </i>
    <i>
      <x v="4"/>
    </i>
    <i>
      <x v="3"/>
    </i>
    <i>
      <x v="2"/>
    </i>
    <i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fld="0" subtotal="count" baseField="0" baseItem="0"/>
  </dataFields>
  <formats count="1">
    <format dxfId="21">
      <pivotArea collapsedLevelsAreSubtotals="1" fieldPosition="0">
        <references count="1">
          <reference field="1" count="0"/>
        </references>
      </pivotArea>
    </format>
  </formats>
  <chartFormats count="2"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61D6A-6AB8-4226-8BF8-A1CFBB0B1B13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ustomer_Type">
  <location ref="D20:E23" firstHeaderRow="1" firstDataRow="1" firstDataCol="1"/>
  <pivotFields count="3">
    <pivotField dataField="1" subtotalTop="0" showAll="0" defaultSubtotal="0"/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fld="0" subtotal="count" baseField="0" baseItem="0"/>
  </dataFields>
  <formats count="1">
    <format dxfId="22">
      <pivotArea collapsedLevelsAreSubtotals="1" fieldPosition="0">
        <references count="1">
          <reference field="2" count="0"/>
        </references>
      </pivotArea>
    </format>
  </formats>
  <chartFormats count="3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8E8F7-BBDF-4090-9BED-FE8F60AF669D}" name="PivotTable1" cacheId="894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rowHeaderCaption="Customer_Type">
  <location ref="F45:L46" firstHeaderRow="0" firstDataRow="1" firstDataCol="0"/>
  <pivotFields count="8">
    <pivotField dataField="1" subtotalTop="0" showAll="0" defaultSubtotal="0"/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0" numFmtId="2"/>
    <dataField fld="2" subtotal="count" baseField="0" baseItem="0"/>
    <dataField fld="3" subtotal="count" baseField="0" baseItem="0" numFmtId="1"/>
    <dataField fld="4" subtotal="count" baseField="0" baseItem="0"/>
    <dataField fld="5" subtotal="count" baseField="0" baseItem="0" numFmtId="10"/>
    <dataField fld="6" subtotal="count" baseField="0" baseItem="0"/>
    <dataField fld="7" subtotal="count" baseField="0" baseItem="0" numFmtId="10"/>
  </dataFields>
  <formats count="4">
    <format dxfId="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5C412-C6DA-468B-B029-CDB032BE4819}" name="PivotTable15" cacheId="90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 rowHeaderCaption="Customer_Type">
  <location ref="L28:O34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1" subtotal="count" baseField="0" baseItem="0"/>
    <dataField fld="3" subtotal="count" baseField="0" baseItem="0" numFmtId="10"/>
  </dataFields>
  <formats count="2">
    <format dxfId="23">
      <pivotArea outline="0" collapsedLevelsAreSubtotals="1" fieldPosition="0"/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C29EB-831D-4A33-9984-DC5E4F0044AA}" name="PivotTable8" cacheId="91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9" rowHeaderCaption="Customer_Type">
  <location ref="A30:D37" firstHeaderRow="0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formats count="1">
    <format dxfId="24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CB6643-874F-4E37-A3F6-B0291FA504F2}" name="Sales" displayName="Sales" ref="A1:U1501" totalsRowShown="0" headerRowDxfId="33" headerRowBorderDxfId="32" tableBorderDxfId="31">
  <autoFilter ref="A1:U1501" xr:uid="{1CCB6643-874F-4E37-A3F6-B0291FA504F2}"/>
  <tableColumns count="21">
    <tableColumn id="1" xr3:uid="{8C541854-FC8C-43F8-B811-86253CB268BA}" name="Date" dataDxfId="30"/>
    <tableColumn id="2" xr3:uid="{EA5363FF-3F96-4546-8A32-761875B5363B}" name="Region"/>
    <tableColumn id="3" xr3:uid="{4CF6E5A1-0FEF-4CDA-9C4E-0F3BAB231E49}" name="Product"/>
    <tableColumn id="4" xr3:uid="{41EFCF33-1A07-46A9-BDAB-367A32E3D632}" name="Quantity"/>
    <tableColumn id="5" xr3:uid="{45C65D93-F33E-4AF4-9280-D4EF511322C2}" name="UnitPrice"/>
    <tableColumn id="6" xr3:uid="{C04B5CBD-F0AC-4E82-8BBB-A8FFD97AA67B}" name="StoreLocation"/>
    <tableColumn id="7" xr3:uid="{03AF3582-5048-4A24-B75B-3A246BFA3941}" name="CustomerType"/>
    <tableColumn id="8" xr3:uid="{CB35BDD3-BE9C-4A90-A815-3498794EC1CE}" name="Discount"/>
    <tableColumn id="9" xr3:uid="{25885E0E-8CF6-4140-B26D-266BB0754F8A}" name="Salesperson"/>
    <tableColumn id="10" xr3:uid="{40FD5F31-406E-4CA4-B72F-6340A49E5E8D}" name="TotalPrice" dataDxfId="29"/>
    <tableColumn id="11" xr3:uid="{75E75593-F439-4D69-9F6F-847AF3418BB2}" name="PaymentMethod"/>
    <tableColumn id="12" xr3:uid="{5627BA95-AEAD-4B89-B016-24BFAC5A55B9}" name="Promotion"/>
    <tableColumn id="13" xr3:uid="{DC48C3BC-25F0-4737-96FB-83F1B82F901A}" name="Returned"/>
    <tableColumn id="14" xr3:uid="{DD5369D5-663D-4EE0-BFC4-0904FA28EA33}" name="OrderID"/>
    <tableColumn id="15" xr3:uid="{C3E3DC06-74BD-4131-B951-56AEDEAA38CB}" name="CustomerName"/>
    <tableColumn id="16" xr3:uid="{4813E5F6-A253-4868-9718-31297E701AD3}" name="ShippingCost"/>
    <tableColumn id="17" xr3:uid="{B7786085-9259-4DB3-BAC2-E44C3CBE07C8}" name="OrderDate" dataDxfId="28"/>
    <tableColumn id="18" xr3:uid="{1DBC718B-E985-42AF-B4C2-0606CCFADAC7}" name="DeliveryDate" dataDxfId="27"/>
    <tableColumn id="21" xr3:uid="{5C16737E-C395-49F2-9B40-1D436AF48120}" name="Delivery Days" dataDxfId="26">
      <calculatedColumnFormula>Sales[[#This Row],[DeliveryDate]]-Sales[[#This Row],[OrderDate]]</calculatedColumnFormula>
    </tableColumn>
    <tableColumn id="22" xr3:uid="{28761CAB-5726-43F5-B89A-5278DCB67224}" name="Delivery Status" dataDxfId="25">
      <calculatedColumnFormula>IF(Sales[[#This Row],[Delivery Days]]&lt;=$W$2, "Timely", "Delayed")</calculatedColumnFormula>
    </tableColumn>
    <tableColumn id="19" xr3:uid="{2046D36B-9D0C-4D0F-AD43-451FFA690055}" name="RegionManag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A536775B-146F-4E7B-9A2B-448C54F472D0}" sourceName="[Sales].[Date]">
  <pivotTables>
    <pivotTable tabId="3" name="PivotTable1"/>
    <pivotTable tabId="3" name="PivotTable10"/>
    <pivotTable tabId="3" name="PivotTable11"/>
    <pivotTable tabId="3" name="PivotTable12"/>
    <pivotTable tabId="3" name="PivotTable15"/>
    <pivotTable tabId="3" name="PivotTable7"/>
    <pivotTable tabId="3" name="PivotTable8"/>
    <pivotTable tabId="3" name="PivotTable9"/>
  </pivotTables>
  <state minimalRefreshVersion="6" lastRefreshVersion="6" pivotCacheId="765190963" filterType="unknown"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3" xr10:uid="{703DBBDC-87A8-4D50-A211-276FA1202FB5}" cache="Timeline_Date" caption="Date" level="0" selectionLevel="0" scrollPosition="2023-01-01T00:00:00" style="Timeline Style 2"/>
  <timeline name="Date 4" xr10:uid="{385B4506-218A-43A4-BC90-7ECA65400C98}" cache="Timeline_Date" caption="Date" level="0" selectionLevel="0" scrollPosition="2023-01-01T00:00:00" style="Timeline Style 2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FCB40059-5796-488F-A682-DFDA1815ACC5}" cache="Timeline_Date" caption="Date" level="0" selectionLevel="0" scrollPosition="2023-01-01T00:00:00" style="Timeline Style 2"/>
  <timeline name="Date 5" xr10:uid="{A108872C-7006-46F1-8C9B-1408110B601A}" cache="Timeline_Date" caption="Date" level="0" selectionLevel="0" scrollPosition="2023-01-01T00:00:00" style="Timeline Style 2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2" xr10:uid="{CBE403CE-FBAD-41B8-938F-BEDA7C6016C5}" cache="Timeline_Date" caption="Date" level="0" selectionLevel="0" scrollPosition="2023-01-01T00:00:00" style="Timeline Style 2"/>
  <timeline name="Date 6" xr10:uid="{0F8DFB37-C591-4A4B-9984-7DF3CE9151F6}" cache="Timeline_Date" caption="Date" level="0" selectionLevel="0" scrollPosition="2023-01-01T00:00:00" style="Timeline Style 2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1/relationships/timeline" Target="../timelines/timelin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1/relationships/timeline" Target="../timelines/timelin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1"/>
  <sheetViews>
    <sheetView zoomScale="80" zoomScaleNormal="80" workbookViewId="0">
      <pane ySplit="1" topLeftCell="A2" activePane="bottomLeft" state="frozen"/>
      <selection activeCell="D1" sqref="D1"/>
      <selection pane="bottomLeft" activeCell="W5" sqref="W5"/>
    </sheetView>
  </sheetViews>
  <sheetFormatPr defaultRowHeight="15" x14ac:dyDescent="0.25"/>
  <cols>
    <col min="1" max="1" width="10.7109375" style="4" bestFit="1" customWidth="1"/>
    <col min="2" max="2" width="9.28515625" customWidth="1"/>
    <col min="3" max="3" width="10" customWidth="1"/>
    <col min="4" max="4" width="10.85546875" customWidth="1"/>
    <col min="5" max="5" width="11.42578125" customWidth="1"/>
    <col min="6" max="6" width="15.28515625" customWidth="1"/>
    <col min="7" max="7" width="16" customWidth="1"/>
    <col min="8" max="8" width="10.85546875" customWidth="1"/>
    <col min="9" max="9" width="13.85546875" customWidth="1"/>
    <col min="10" max="10" width="12" style="6" customWidth="1"/>
    <col min="11" max="11" width="18.140625" customWidth="1"/>
    <col min="12" max="12" width="15.140625" bestFit="1" customWidth="1"/>
    <col min="13" max="13" width="11.42578125" customWidth="1"/>
    <col min="14" max="14" width="10.42578125" bestFit="1" customWidth="1"/>
    <col min="15" max="15" width="17" customWidth="1"/>
    <col min="16" max="16" width="14.7109375" customWidth="1"/>
    <col min="17" max="17" width="12.42578125" customWidth="1"/>
    <col min="18" max="20" width="14.7109375" customWidth="1"/>
    <col min="21" max="21" width="17.140625" customWidth="1"/>
  </cols>
  <sheetData>
    <row r="1" spans="1:23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2944</v>
      </c>
      <c r="T1" s="2" t="s">
        <v>2947</v>
      </c>
      <c r="U1" s="2" t="s">
        <v>18</v>
      </c>
    </row>
    <row r="2" spans="1:23" x14ac:dyDescent="0.25">
      <c r="A2" s="4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 s="6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1">
        <v>44980</v>
      </c>
      <c r="R2" s="1">
        <v>44984</v>
      </c>
      <c r="S2" s="14">
        <f>Sales[[#This Row],[DeliveryDate]]-Sales[[#This Row],[OrderDate]]</f>
        <v>4</v>
      </c>
      <c r="T2" s="14" t="str">
        <f>IF(Sales[[#This Row],[Delivery Days]]&lt;=$W$2, "Timely", "Delayed")</f>
        <v>Timely</v>
      </c>
      <c r="U2" t="s">
        <v>2922</v>
      </c>
      <c r="W2" s="14">
        <f>AVERAGE(Sales[Delivery Days])</f>
        <v>6.0426666666666664</v>
      </c>
    </row>
    <row r="3" spans="1:23" x14ac:dyDescent="0.25">
      <c r="A3" s="4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 s="6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1">
        <v>45645</v>
      </c>
      <c r="R3" s="1">
        <v>45654</v>
      </c>
      <c r="S3" s="14">
        <f>Sales[[#This Row],[DeliveryDate]]-Sales[[#This Row],[OrderDate]]</f>
        <v>9</v>
      </c>
      <c r="T3" s="14" t="str">
        <f>IF(Sales[[#This Row],[Delivery Days]]&lt;=$W$2, "Timely", "Delayed")</f>
        <v>Delayed</v>
      </c>
      <c r="U3" t="s">
        <v>2923</v>
      </c>
    </row>
    <row r="4" spans="1:23" x14ac:dyDescent="0.25">
      <c r="A4" s="4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 s="6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1">
        <v>45056</v>
      </c>
      <c r="R4" s="1">
        <v>45065</v>
      </c>
      <c r="S4" s="14">
        <f>Sales[[#This Row],[DeliveryDate]]-Sales[[#This Row],[OrderDate]]</f>
        <v>9</v>
      </c>
      <c r="T4" s="14" t="str">
        <f>IF(Sales[[#This Row],[Delivery Days]]&lt;=$W$2, "Timely", "Delayed")</f>
        <v>Delayed</v>
      </c>
      <c r="U4" t="s">
        <v>2924</v>
      </c>
    </row>
    <row r="5" spans="1:23" x14ac:dyDescent="0.25">
      <c r="A5" s="4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 s="6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1">
        <v>45714</v>
      </c>
      <c r="R5" s="1">
        <v>45718</v>
      </c>
      <c r="S5" s="14">
        <f>Sales[[#This Row],[DeliveryDate]]-Sales[[#This Row],[OrderDate]]</f>
        <v>4</v>
      </c>
      <c r="T5" s="14" t="str">
        <f>IF(Sales[[#This Row],[Delivery Days]]&lt;=$W$2, "Timely", "Delayed")</f>
        <v>Timely</v>
      </c>
      <c r="U5" t="s">
        <v>2925</v>
      </c>
    </row>
    <row r="6" spans="1:23" x14ac:dyDescent="0.25">
      <c r="A6" s="4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 s="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1">
        <v>45101</v>
      </c>
      <c r="R6" s="1">
        <v>45104</v>
      </c>
      <c r="S6" s="14">
        <f>Sales[[#This Row],[DeliveryDate]]-Sales[[#This Row],[OrderDate]]</f>
        <v>3</v>
      </c>
      <c r="T6" s="14" t="str">
        <f>IF(Sales[[#This Row],[Delivery Days]]&lt;=$W$2, "Timely", "Delayed")</f>
        <v>Timely</v>
      </c>
      <c r="U6" t="s">
        <v>2922</v>
      </c>
    </row>
    <row r="7" spans="1:23" x14ac:dyDescent="0.25">
      <c r="A7" s="4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 s="6">
        <v>654.65299999999991</v>
      </c>
      <c r="K7" t="s">
        <v>45</v>
      </c>
      <c r="L7" t="s">
        <v>2941</v>
      </c>
      <c r="M7">
        <v>0</v>
      </c>
      <c r="N7" t="s">
        <v>56</v>
      </c>
      <c r="O7" t="s">
        <v>1556</v>
      </c>
      <c r="P7">
        <v>11.92</v>
      </c>
      <c r="Q7" s="1">
        <v>45342</v>
      </c>
      <c r="R7" s="1">
        <v>45352</v>
      </c>
      <c r="S7" s="14">
        <f>Sales[[#This Row],[DeliveryDate]]-Sales[[#This Row],[OrderDate]]</f>
        <v>10</v>
      </c>
      <c r="T7" s="14" t="str">
        <f>IF(Sales[[#This Row],[Delivery Days]]&lt;=$W$2, "Timely", "Delayed")</f>
        <v>Delayed</v>
      </c>
      <c r="U7" t="s">
        <v>2925</v>
      </c>
    </row>
    <row r="8" spans="1:23" x14ac:dyDescent="0.25">
      <c r="A8" s="4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 s="6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1">
        <v>44937</v>
      </c>
      <c r="R8" s="1">
        <v>44940</v>
      </c>
      <c r="S8" s="14">
        <f>Sales[[#This Row],[DeliveryDate]]-Sales[[#This Row],[OrderDate]]</f>
        <v>3</v>
      </c>
      <c r="T8" s="14" t="str">
        <f>IF(Sales[[#This Row],[Delivery Days]]&lt;=$W$2, "Timely", "Delayed")</f>
        <v>Timely</v>
      </c>
      <c r="U8" t="s">
        <v>2923</v>
      </c>
    </row>
    <row r="9" spans="1:23" x14ac:dyDescent="0.25">
      <c r="A9" s="4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 s="6">
        <v>842.06100000000004</v>
      </c>
      <c r="K9" t="s">
        <v>47</v>
      </c>
      <c r="L9" t="s">
        <v>2941</v>
      </c>
      <c r="M9">
        <v>0</v>
      </c>
      <c r="N9" t="s">
        <v>58</v>
      </c>
      <c r="O9" t="s">
        <v>1558</v>
      </c>
      <c r="P9">
        <v>48.01</v>
      </c>
      <c r="Q9" s="1">
        <v>44935</v>
      </c>
      <c r="R9" s="1">
        <v>44937</v>
      </c>
      <c r="S9" s="14">
        <f>Sales[[#This Row],[DeliveryDate]]-Sales[[#This Row],[OrderDate]]</f>
        <v>2</v>
      </c>
      <c r="T9" s="14" t="str">
        <f>IF(Sales[[#This Row],[Delivery Days]]&lt;=$W$2, "Timely", "Delayed")</f>
        <v>Timely</v>
      </c>
      <c r="U9" t="s">
        <v>2925</v>
      </c>
    </row>
    <row r="10" spans="1:23" x14ac:dyDescent="0.25">
      <c r="A10" s="4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 s="6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1">
        <v>45581</v>
      </c>
      <c r="R10" s="1">
        <v>45583</v>
      </c>
      <c r="S10" s="14">
        <f>Sales[[#This Row],[DeliveryDate]]-Sales[[#This Row],[OrderDate]]</f>
        <v>2</v>
      </c>
      <c r="T10" s="14" t="str">
        <f>IF(Sales[[#This Row],[Delivery Days]]&lt;=$W$2, "Timely", "Delayed")</f>
        <v>Timely</v>
      </c>
      <c r="U10" t="s">
        <v>2923</v>
      </c>
    </row>
    <row r="11" spans="1:23" x14ac:dyDescent="0.25">
      <c r="A11" s="4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 s="6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1">
        <v>45721</v>
      </c>
      <c r="R11" s="1">
        <v>45729</v>
      </c>
      <c r="S11" s="14">
        <f>Sales[[#This Row],[DeliveryDate]]-Sales[[#This Row],[OrderDate]]</f>
        <v>8</v>
      </c>
      <c r="T11" s="14" t="str">
        <f>IF(Sales[[#This Row],[Delivery Days]]&lt;=$W$2, "Timely", "Delayed")</f>
        <v>Delayed</v>
      </c>
      <c r="U11" t="s">
        <v>2926</v>
      </c>
    </row>
    <row r="12" spans="1:23" x14ac:dyDescent="0.25">
      <c r="A12" s="4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 s="6">
        <v>6671.9474999999993</v>
      </c>
      <c r="K12" t="s">
        <v>46</v>
      </c>
      <c r="L12" t="s">
        <v>2941</v>
      </c>
      <c r="M12">
        <v>0</v>
      </c>
      <c r="N12" t="s">
        <v>61</v>
      </c>
      <c r="O12" t="s">
        <v>1561</v>
      </c>
      <c r="P12">
        <v>12.14</v>
      </c>
      <c r="Q12" s="1">
        <v>45392</v>
      </c>
      <c r="R12" s="1">
        <v>45399</v>
      </c>
      <c r="S12" s="14">
        <f>Sales[[#This Row],[DeliveryDate]]-Sales[[#This Row],[OrderDate]]</f>
        <v>7</v>
      </c>
      <c r="T12" s="14" t="str">
        <f>IF(Sales[[#This Row],[Delivery Days]]&lt;=$W$2, "Timely", "Delayed")</f>
        <v>Delayed</v>
      </c>
      <c r="U12" t="s">
        <v>2924</v>
      </c>
    </row>
    <row r="13" spans="1:23" x14ac:dyDescent="0.25">
      <c r="A13" s="4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 s="6">
        <v>3545.6849999999999</v>
      </c>
      <c r="K13" t="s">
        <v>44</v>
      </c>
      <c r="L13" t="s">
        <v>2941</v>
      </c>
      <c r="M13">
        <v>1</v>
      </c>
      <c r="N13" t="s">
        <v>62</v>
      </c>
      <c r="O13" t="s">
        <v>1562</v>
      </c>
      <c r="P13">
        <v>44.89</v>
      </c>
      <c r="Q13" s="1">
        <v>45485</v>
      </c>
      <c r="R13" s="1">
        <v>45491</v>
      </c>
      <c r="S13" s="14">
        <f>Sales[[#This Row],[DeliveryDate]]-Sales[[#This Row],[OrderDate]]</f>
        <v>6</v>
      </c>
      <c r="T13" s="14" t="str">
        <f>IF(Sales[[#This Row],[Delivery Days]]&lt;=$W$2, "Timely", "Delayed")</f>
        <v>Timely</v>
      </c>
      <c r="U13" t="s">
        <v>2922</v>
      </c>
    </row>
    <row r="14" spans="1:23" x14ac:dyDescent="0.25">
      <c r="A14" s="4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 s="6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1">
        <v>45128</v>
      </c>
      <c r="R14" s="1">
        <v>45138</v>
      </c>
      <c r="S14" s="14">
        <f>Sales[[#This Row],[DeliveryDate]]-Sales[[#This Row],[OrderDate]]</f>
        <v>10</v>
      </c>
      <c r="T14" s="14" t="str">
        <f>IF(Sales[[#This Row],[Delivery Days]]&lt;=$W$2, "Timely", "Delayed")</f>
        <v>Delayed</v>
      </c>
      <c r="U14" t="s">
        <v>2925</v>
      </c>
    </row>
    <row r="15" spans="1:23" x14ac:dyDescent="0.25">
      <c r="A15" s="4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 s="6">
        <v>134.15549999999999</v>
      </c>
      <c r="K15" t="s">
        <v>46</v>
      </c>
      <c r="L15" t="s">
        <v>2941</v>
      </c>
      <c r="M15">
        <v>0</v>
      </c>
      <c r="N15" t="s">
        <v>64</v>
      </c>
      <c r="O15" t="s">
        <v>1564</v>
      </c>
      <c r="P15">
        <v>42.82</v>
      </c>
      <c r="Q15" s="1">
        <v>45675</v>
      </c>
      <c r="R15" s="1">
        <v>45679</v>
      </c>
      <c r="S15" s="14">
        <f>Sales[[#This Row],[DeliveryDate]]-Sales[[#This Row],[OrderDate]]</f>
        <v>4</v>
      </c>
      <c r="T15" s="14" t="str">
        <f>IF(Sales[[#This Row],[Delivery Days]]&lt;=$W$2, "Timely", "Delayed")</f>
        <v>Timely</v>
      </c>
      <c r="U15" t="s">
        <v>2926</v>
      </c>
    </row>
    <row r="16" spans="1:23" x14ac:dyDescent="0.25">
      <c r="A16" s="4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 s="6">
        <v>2808.8249999999998</v>
      </c>
      <c r="K16" t="s">
        <v>46</v>
      </c>
      <c r="L16" t="s">
        <v>2941</v>
      </c>
      <c r="M16">
        <v>0</v>
      </c>
      <c r="N16" t="s">
        <v>65</v>
      </c>
      <c r="O16" t="s">
        <v>1565</v>
      </c>
      <c r="P16">
        <v>39.659999999999997</v>
      </c>
      <c r="Q16" s="1">
        <v>45634</v>
      </c>
      <c r="R16" s="1">
        <v>45641</v>
      </c>
      <c r="S16" s="14">
        <f>Sales[[#This Row],[DeliveryDate]]-Sales[[#This Row],[OrderDate]]</f>
        <v>7</v>
      </c>
      <c r="T16" s="14" t="str">
        <f>IF(Sales[[#This Row],[Delivery Days]]&lt;=$W$2, "Timely", "Delayed")</f>
        <v>Delayed</v>
      </c>
      <c r="U16" t="s">
        <v>2924</v>
      </c>
    </row>
    <row r="17" spans="1:21" x14ac:dyDescent="0.25">
      <c r="A17" s="4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 s="6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1">
        <v>45788</v>
      </c>
      <c r="R17" s="1">
        <v>45794</v>
      </c>
      <c r="S17" s="14">
        <f>Sales[[#This Row],[DeliveryDate]]-Sales[[#This Row],[OrderDate]]</f>
        <v>6</v>
      </c>
      <c r="T17" s="14" t="str">
        <f>IF(Sales[[#This Row],[Delivery Days]]&lt;=$W$2, "Timely", "Delayed")</f>
        <v>Timely</v>
      </c>
      <c r="U17" t="s">
        <v>2926</v>
      </c>
    </row>
    <row r="18" spans="1:21" x14ac:dyDescent="0.25">
      <c r="A18" s="4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 s="6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1">
        <v>44983</v>
      </c>
      <c r="R18" s="1">
        <v>44989</v>
      </c>
      <c r="S18" s="14">
        <f>Sales[[#This Row],[DeliveryDate]]-Sales[[#This Row],[OrderDate]]</f>
        <v>6</v>
      </c>
      <c r="T18" s="14" t="str">
        <f>IF(Sales[[#This Row],[Delivery Days]]&lt;=$W$2, "Timely", "Delayed")</f>
        <v>Timely</v>
      </c>
      <c r="U18" t="s">
        <v>2926</v>
      </c>
    </row>
    <row r="19" spans="1:21" x14ac:dyDescent="0.25">
      <c r="A19" s="4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 s="6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1">
        <v>45440</v>
      </c>
      <c r="R19" s="1">
        <v>45444</v>
      </c>
      <c r="S19" s="14">
        <f>Sales[[#This Row],[DeliveryDate]]-Sales[[#This Row],[OrderDate]]</f>
        <v>4</v>
      </c>
      <c r="T19" s="14" t="str">
        <f>IF(Sales[[#This Row],[Delivery Days]]&lt;=$W$2, "Timely", "Delayed")</f>
        <v>Timely</v>
      </c>
      <c r="U19" t="s">
        <v>2925</v>
      </c>
    </row>
    <row r="20" spans="1:21" x14ac:dyDescent="0.25">
      <c r="A20" s="4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 s="6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1">
        <v>45260</v>
      </c>
      <c r="R20" s="1">
        <v>45268</v>
      </c>
      <c r="S20" s="14">
        <f>Sales[[#This Row],[DeliveryDate]]-Sales[[#This Row],[OrderDate]]</f>
        <v>8</v>
      </c>
      <c r="T20" s="14" t="str">
        <f>IF(Sales[[#This Row],[Delivery Days]]&lt;=$W$2, "Timely", "Delayed")</f>
        <v>Delayed</v>
      </c>
      <c r="U20" t="s">
        <v>2922</v>
      </c>
    </row>
    <row r="21" spans="1:21" x14ac:dyDescent="0.25">
      <c r="A21" s="4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 s="6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1">
        <v>45099</v>
      </c>
      <c r="R21" s="1">
        <v>45109</v>
      </c>
      <c r="S21" s="14">
        <f>Sales[[#This Row],[DeliveryDate]]-Sales[[#This Row],[OrderDate]]</f>
        <v>10</v>
      </c>
      <c r="T21" s="14" t="str">
        <f>IF(Sales[[#This Row],[Delivery Days]]&lt;=$W$2, "Timely", "Delayed")</f>
        <v>Delayed</v>
      </c>
      <c r="U21" t="s">
        <v>2926</v>
      </c>
    </row>
    <row r="22" spans="1:21" x14ac:dyDescent="0.25">
      <c r="A22" s="4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 s="6">
        <v>3190.5</v>
      </c>
      <c r="K22" t="s">
        <v>43</v>
      </c>
      <c r="L22" t="s">
        <v>2941</v>
      </c>
      <c r="M22">
        <v>0</v>
      </c>
      <c r="N22" t="s">
        <v>71</v>
      </c>
      <c r="O22" t="s">
        <v>1571</v>
      </c>
      <c r="P22">
        <v>28.43</v>
      </c>
      <c r="Q22" s="1">
        <v>45813</v>
      </c>
      <c r="R22" s="1">
        <v>45816</v>
      </c>
      <c r="S22" s="14">
        <f>Sales[[#This Row],[DeliveryDate]]-Sales[[#This Row],[OrderDate]]</f>
        <v>3</v>
      </c>
      <c r="T22" s="14" t="str">
        <f>IF(Sales[[#This Row],[Delivery Days]]&lt;=$W$2, "Timely", "Delayed")</f>
        <v>Timely</v>
      </c>
      <c r="U22" t="s">
        <v>2926</v>
      </c>
    </row>
    <row r="23" spans="1:21" x14ac:dyDescent="0.25">
      <c r="A23" s="4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 s="6">
        <v>4160.107</v>
      </c>
      <c r="K23" t="s">
        <v>43</v>
      </c>
      <c r="L23" t="s">
        <v>2941</v>
      </c>
      <c r="M23">
        <v>1</v>
      </c>
      <c r="N23" t="s">
        <v>72</v>
      </c>
      <c r="O23" t="s">
        <v>1572</v>
      </c>
      <c r="P23">
        <v>46.83</v>
      </c>
      <c r="Q23" s="1">
        <v>44988</v>
      </c>
      <c r="R23" s="1">
        <v>44993</v>
      </c>
      <c r="S23" s="14">
        <f>Sales[[#This Row],[DeliveryDate]]-Sales[[#This Row],[OrderDate]]</f>
        <v>5</v>
      </c>
      <c r="T23" s="14" t="str">
        <f>IF(Sales[[#This Row],[Delivery Days]]&lt;=$W$2, "Timely", "Delayed")</f>
        <v>Timely</v>
      </c>
      <c r="U23" t="s">
        <v>2925</v>
      </c>
    </row>
    <row r="24" spans="1:21" x14ac:dyDescent="0.25">
      <c r="A24" s="4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 s="6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1">
        <v>45340</v>
      </c>
      <c r="R24" s="1">
        <v>45344</v>
      </c>
      <c r="S24" s="14">
        <f>Sales[[#This Row],[DeliveryDate]]-Sales[[#This Row],[OrderDate]]</f>
        <v>4</v>
      </c>
      <c r="T24" s="14" t="str">
        <f>IF(Sales[[#This Row],[Delivery Days]]&lt;=$W$2, "Timely", "Delayed")</f>
        <v>Timely</v>
      </c>
      <c r="U24" t="s">
        <v>2924</v>
      </c>
    </row>
    <row r="25" spans="1:21" x14ac:dyDescent="0.25">
      <c r="A25" s="4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 s="6">
        <v>4821.7440000000006</v>
      </c>
      <c r="K25" t="s">
        <v>45</v>
      </c>
      <c r="L25" t="s">
        <v>2941</v>
      </c>
      <c r="M25">
        <v>0</v>
      </c>
      <c r="N25" t="s">
        <v>74</v>
      </c>
      <c r="O25" t="s">
        <v>1574</v>
      </c>
      <c r="P25">
        <v>27.97</v>
      </c>
      <c r="Q25" s="1">
        <v>45144</v>
      </c>
      <c r="R25" s="1">
        <v>45152</v>
      </c>
      <c r="S25" s="14">
        <f>Sales[[#This Row],[DeliveryDate]]-Sales[[#This Row],[OrderDate]]</f>
        <v>8</v>
      </c>
      <c r="T25" s="14" t="str">
        <f>IF(Sales[[#This Row],[Delivery Days]]&lt;=$W$2, "Timely", "Delayed")</f>
        <v>Delayed</v>
      </c>
      <c r="U25" t="s">
        <v>2925</v>
      </c>
    </row>
    <row r="26" spans="1:21" x14ac:dyDescent="0.25">
      <c r="A26" s="4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 s="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1">
        <v>45435</v>
      </c>
      <c r="R26" s="1">
        <v>45442</v>
      </c>
      <c r="S26" s="14">
        <f>Sales[[#This Row],[DeliveryDate]]-Sales[[#This Row],[OrderDate]]</f>
        <v>7</v>
      </c>
      <c r="T26" s="14" t="str">
        <f>IF(Sales[[#This Row],[Delivery Days]]&lt;=$W$2, "Timely", "Delayed")</f>
        <v>Delayed</v>
      </c>
      <c r="U26" t="s">
        <v>2924</v>
      </c>
    </row>
    <row r="27" spans="1:21" x14ac:dyDescent="0.25">
      <c r="A27" s="4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 s="6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1">
        <v>45222</v>
      </c>
      <c r="R27" s="1">
        <v>45227</v>
      </c>
      <c r="S27" s="14">
        <f>Sales[[#This Row],[DeliveryDate]]-Sales[[#This Row],[OrderDate]]</f>
        <v>5</v>
      </c>
      <c r="T27" s="14" t="str">
        <f>IF(Sales[[#This Row],[Delivery Days]]&lt;=$W$2, "Timely", "Delayed")</f>
        <v>Timely</v>
      </c>
      <c r="U27" t="s">
        <v>2922</v>
      </c>
    </row>
    <row r="28" spans="1:21" x14ac:dyDescent="0.25">
      <c r="A28" s="4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 s="6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1">
        <v>45824</v>
      </c>
      <c r="R28" s="1">
        <v>45833</v>
      </c>
      <c r="S28" s="14">
        <f>Sales[[#This Row],[DeliveryDate]]-Sales[[#This Row],[OrderDate]]</f>
        <v>9</v>
      </c>
      <c r="T28" s="14" t="str">
        <f>IF(Sales[[#This Row],[Delivery Days]]&lt;=$W$2, "Timely", "Delayed")</f>
        <v>Delayed</v>
      </c>
      <c r="U28" t="s">
        <v>2926</v>
      </c>
    </row>
    <row r="29" spans="1:21" x14ac:dyDescent="0.25">
      <c r="A29" s="4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 s="6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1">
        <v>44988</v>
      </c>
      <c r="R29" s="1">
        <v>44993</v>
      </c>
      <c r="S29" s="14">
        <f>Sales[[#This Row],[DeliveryDate]]-Sales[[#This Row],[OrderDate]]</f>
        <v>5</v>
      </c>
      <c r="T29" s="14" t="str">
        <f>IF(Sales[[#This Row],[Delivery Days]]&lt;=$W$2, "Timely", "Delayed")</f>
        <v>Timely</v>
      </c>
      <c r="U29" t="s">
        <v>2924</v>
      </c>
    </row>
    <row r="30" spans="1:21" x14ac:dyDescent="0.25">
      <c r="A30" s="4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 s="6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1">
        <v>45614</v>
      </c>
      <c r="R30" s="1">
        <v>45617</v>
      </c>
      <c r="S30" s="14">
        <f>Sales[[#This Row],[DeliveryDate]]-Sales[[#This Row],[OrderDate]]</f>
        <v>3</v>
      </c>
      <c r="T30" s="14" t="str">
        <f>IF(Sales[[#This Row],[Delivery Days]]&lt;=$W$2, "Timely", "Delayed")</f>
        <v>Timely</v>
      </c>
      <c r="U30" t="s">
        <v>2923</v>
      </c>
    </row>
    <row r="31" spans="1:21" x14ac:dyDescent="0.25">
      <c r="A31" s="4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 s="6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1">
        <v>45055</v>
      </c>
      <c r="R31" s="1">
        <v>45063</v>
      </c>
      <c r="S31" s="14">
        <f>Sales[[#This Row],[DeliveryDate]]-Sales[[#This Row],[OrderDate]]</f>
        <v>8</v>
      </c>
      <c r="T31" s="14" t="str">
        <f>IF(Sales[[#This Row],[Delivery Days]]&lt;=$W$2, "Timely", "Delayed")</f>
        <v>Delayed</v>
      </c>
      <c r="U31" t="s">
        <v>2925</v>
      </c>
    </row>
    <row r="32" spans="1:21" x14ac:dyDescent="0.25">
      <c r="A32" s="4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 s="6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1">
        <v>45633</v>
      </c>
      <c r="R32" s="1">
        <v>45640</v>
      </c>
      <c r="S32" s="14">
        <f>Sales[[#This Row],[DeliveryDate]]-Sales[[#This Row],[OrderDate]]</f>
        <v>7</v>
      </c>
      <c r="T32" s="14" t="str">
        <f>IF(Sales[[#This Row],[Delivery Days]]&lt;=$W$2, "Timely", "Delayed")</f>
        <v>Delayed</v>
      </c>
      <c r="U32" t="s">
        <v>2924</v>
      </c>
    </row>
    <row r="33" spans="1:21" x14ac:dyDescent="0.25">
      <c r="A33" s="4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 s="6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1">
        <v>45335</v>
      </c>
      <c r="R33" s="1">
        <v>45337</v>
      </c>
      <c r="S33" s="14">
        <f>Sales[[#This Row],[DeliveryDate]]-Sales[[#This Row],[OrderDate]]</f>
        <v>2</v>
      </c>
      <c r="T33" s="14" t="str">
        <f>IF(Sales[[#This Row],[Delivery Days]]&lt;=$W$2, "Timely", "Delayed")</f>
        <v>Timely</v>
      </c>
      <c r="U33" t="s">
        <v>2924</v>
      </c>
    </row>
    <row r="34" spans="1:21" x14ac:dyDescent="0.25">
      <c r="A34" s="4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 s="6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1">
        <v>45725</v>
      </c>
      <c r="R34" s="1">
        <v>45731</v>
      </c>
      <c r="S34" s="14">
        <f>Sales[[#This Row],[DeliveryDate]]-Sales[[#This Row],[OrderDate]]</f>
        <v>6</v>
      </c>
      <c r="T34" s="14" t="str">
        <f>IF(Sales[[#This Row],[Delivery Days]]&lt;=$W$2, "Timely", "Delayed")</f>
        <v>Timely</v>
      </c>
      <c r="U34" t="s">
        <v>2923</v>
      </c>
    </row>
    <row r="35" spans="1:21" x14ac:dyDescent="0.25">
      <c r="A35" s="4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 s="6">
        <v>8100.33</v>
      </c>
      <c r="K35" t="s">
        <v>44</v>
      </c>
      <c r="L35" t="s">
        <v>2941</v>
      </c>
      <c r="M35">
        <v>0</v>
      </c>
      <c r="N35" t="s">
        <v>84</v>
      </c>
      <c r="O35" t="s">
        <v>1584</v>
      </c>
      <c r="P35">
        <v>17.91</v>
      </c>
      <c r="Q35" s="1">
        <v>45021</v>
      </c>
      <c r="R35" s="1">
        <v>45027</v>
      </c>
      <c r="S35" s="14">
        <f>Sales[[#This Row],[DeliveryDate]]-Sales[[#This Row],[OrderDate]]</f>
        <v>6</v>
      </c>
      <c r="T35" s="14" t="str">
        <f>IF(Sales[[#This Row],[Delivery Days]]&lt;=$W$2, "Timely", "Delayed")</f>
        <v>Timely</v>
      </c>
      <c r="U35" t="s">
        <v>2925</v>
      </c>
    </row>
    <row r="36" spans="1:21" x14ac:dyDescent="0.25">
      <c r="A36" s="4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 s="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1">
        <v>45785</v>
      </c>
      <c r="R36" s="1">
        <v>45789</v>
      </c>
      <c r="S36" s="14">
        <f>Sales[[#This Row],[DeliveryDate]]-Sales[[#This Row],[OrderDate]]</f>
        <v>4</v>
      </c>
      <c r="T36" s="14" t="str">
        <f>IF(Sales[[#This Row],[Delivery Days]]&lt;=$W$2, "Timely", "Delayed")</f>
        <v>Timely</v>
      </c>
      <c r="U36" t="s">
        <v>2924</v>
      </c>
    </row>
    <row r="37" spans="1:21" x14ac:dyDescent="0.25">
      <c r="A37" s="4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 s="6">
        <v>1149.96</v>
      </c>
      <c r="K37" t="s">
        <v>45</v>
      </c>
      <c r="L37" t="s">
        <v>2941</v>
      </c>
      <c r="M37">
        <v>0</v>
      </c>
      <c r="N37" t="s">
        <v>86</v>
      </c>
      <c r="O37" t="s">
        <v>1586</v>
      </c>
      <c r="P37">
        <v>12.57</v>
      </c>
      <c r="Q37" s="1">
        <v>45172</v>
      </c>
      <c r="R37" s="1">
        <v>45180</v>
      </c>
      <c r="S37" s="14">
        <f>Sales[[#This Row],[DeliveryDate]]-Sales[[#This Row],[OrderDate]]</f>
        <v>8</v>
      </c>
      <c r="T37" s="14" t="str">
        <f>IF(Sales[[#This Row],[Delivery Days]]&lt;=$W$2, "Timely", "Delayed")</f>
        <v>Delayed</v>
      </c>
      <c r="U37" t="s">
        <v>2924</v>
      </c>
    </row>
    <row r="38" spans="1:21" x14ac:dyDescent="0.25">
      <c r="A38" s="4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 s="6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1">
        <v>45737</v>
      </c>
      <c r="R38" s="1">
        <v>45744</v>
      </c>
      <c r="S38" s="14">
        <f>Sales[[#This Row],[DeliveryDate]]-Sales[[#This Row],[OrderDate]]</f>
        <v>7</v>
      </c>
      <c r="T38" s="14" t="str">
        <f>IF(Sales[[#This Row],[Delivery Days]]&lt;=$W$2, "Timely", "Delayed")</f>
        <v>Delayed</v>
      </c>
      <c r="U38" t="s">
        <v>2925</v>
      </c>
    </row>
    <row r="39" spans="1:21" x14ac:dyDescent="0.25">
      <c r="A39" s="4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 s="6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1">
        <v>45828</v>
      </c>
      <c r="R39" s="1">
        <v>45838</v>
      </c>
      <c r="S39" s="14">
        <f>Sales[[#This Row],[DeliveryDate]]-Sales[[#This Row],[OrderDate]]</f>
        <v>10</v>
      </c>
      <c r="T39" s="14" t="str">
        <f>IF(Sales[[#This Row],[Delivery Days]]&lt;=$W$2, "Timely", "Delayed")</f>
        <v>Delayed</v>
      </c>
      <c r="U39" t="s">
        <v>2923</v>
      </c>
    </row>
    <row r="40" spans="1:21" x14ac:dyDescent="0.25">
      <c r="A40" s="4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 s="6">
        <v>5394.4380000000001</v>
      </c>
      <c r="K40" t="s">
        <v>47</v>
      </c>
      <c r="L40" t="s">
        <v>2941</v>
      </c>
      <c r="M40">
        <v>1</v>
      </c>
      <c r="N40" t="s">
        <v>89</v>
      </c>
      <c r="O40" t="s">
        <v>1589</v>
      </c>
      <c r="P40">
        <v>24.77</v>
      </c>
      <c r="Q40" s="1">
        <v>45337</v>
      </c>
      <c r="R40" s="1">
        <v>45347</v>
      </c>
      <c r="S40" s="14">
        <f>Sales[[#This Row],[DeliveryDate]]-Sales[[#This Row],[OrderDate]]</f>
        <v>10</v>
      </c>
      <c r="T40" s="14" t="str">
        <f>IF(Sales[[#This Row],[Delivery Days]]&lt;=$W$2, "Timely", "Delayed")</f>
        <v>Delayed</v>
      </c>
      <c r="U40" t="s">
        <v>2925</v>
      </c>
    </row>
    <row r="41" spans="1:21" x14ac:dyDescent="0.25">
      <c r="A41" s="4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 s="6">
        <v>855.57599999999991</v>
      </c>
      <c r="K41" t="s">
        <v>44</v>
      </c>
      <c r="L41" t="s">
        <v>2941</v>
      </c>
      <c r="M41">
        <v>0</v>
      </c>
      <c r="N41" t="s">
        <v>90</v>
      </c>
      <c r="O41" t="s">
        <v>1590</v>
      </c>
      <c r="P41">
        <v>34.79</v>
      </c>
      <c r="Q41" s="1">
        <v>45086</v>
      </c>
      <c r="R41" s="1">
        <v>45094</v>
      </c>
      <c r="S41" s="14">
        <f>Sales[[#This Row],[DeliveryDate]]-Sales[[#This Row],[OrderDate]]</f>
        <v>8</v>
      </c>
      <c r="T41" s="14" t="str">
        <f>IF(Sales[[#This Row],[Delivery Days]]&lt;=$W$2, "Timely", "Delayed")</f>
        <v>Delayed</v>
      </c>
      <c r="U41" t="s">
        <v>2925</v>
      </c>
    </row>
    <row r="42" spans="1:21" x14ac:dyDescent="0.25">
      <c r="A42" s="4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 s="6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1">
        <v>45148</v>
      </c>
      <c r="R42" s="1">
        <v>45152</v>
      </c>
      <c r="S42" s="14">
        <f>Sales[[#This Row],[DeliveryDate]]-Sales[[#This Row],[OrderDate]]</f>
        <v>4</v>
      </c>
      <c r="T42" s="14" t="str">
        <f>IF(Sales[[#This Row],[Delivery Days]]&lt;=$W$2, "Timely", "Delayed")</f>
        <v>Timely</v>
      </c>
      <c r="U42" t="s">
        <v>2923</v>
      </c>
    </row>
    <row r="43" spans="1:21" x14ac:dyDescent="0.25">
      <c r="A43" s="4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 s="6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1">
        <v>45459</v>
      </c>
      <c r="R43" s="1">
        <v>45468</v>
      </c>
      <c r="S43" s="14">
        <f>Sales[[#This Row],[DeliveryDate]]-Sales[[#This Row],[OrderDate]]</f>
        <v>9</v>
      </c>
      <c r="T43" s="14" t="str">
        <f>IF(Sales[[#This Row],[Delivery Days]]&lt;=$W$2, "Timely", "Delayed")</f>
        <v>Delayed</v>
      </c>
      <c r="U43" t="s">
        <v>2925</v>
      </c>
    </row>
    <row r="44" spans="1:21" x14ac:dyDescent="0.25">
      <c r="A44" s="4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 s="6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1">
        <v>45130</v>
      </c>
      <c r="R44" s="1">
        <v>45133</v>
      </c>
      <c r="S44" s="14">
        <f>Sales[[#This Row],[DeliveryDate]]-Sales[[#This Row],[OrderDate]]</f>
        <v>3</v>
      </c>
      <c r="T44" s="14" t="str">
        <f>IF(Sales[[#This Row],[Delivery Days]]&lt;=$W$2, "Timely", "Delayed")</f>
        <v>Timely</v>
      </c>
      <c r="U44" t="s">
        <v>2923</v>
      </c>
    </row>
    <row r="45" spans="1:21" x14ac:dyDescent="0.25">
      <c r="A45" s="4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 s="6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1">
        <v>45066</v>
      </c>
      <c r="R45" s="1">
        <v>45073</v>
      </c>
      <c r="S45" s="14">
        <f>Sales[[#This Row],[DeliveryDate]]-Sales[[#This Row],[OrderDate]]</f>
        <v>7</v>
      </c>
      <c r="T45" s="14" t="str">
        <f>IF(Sales[[#This Row],[Delivery Days]]&lt;=$W$2, "Timely", "Delayed")</f>
        <v>Delayed</v>
      </c>
      <c r="U45" t="s">
        <v>2925</v>
      </c>
    </row>
    <row r="46" spans="1:21" x14ac:dyDescent="0.25">
      <c r="A46" s="4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 s="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1">
        <v>45107</v>
      </c>
      <c r="R46" s="1">
        <v>45111</v>
      </c>
      <c r="S46" s="14">
        <f>Sales[[#This Row],[DeliveryDate]]-Sales[[#This Row],[OrderDate]]</f>
        <v>4</v>
      </c>
      <c r="T46" s="14" t="str">
        <f>IF(Sales[[#This Row],[Delivery Days]]&lt;=$W$2, "Timely", "Delayed")</f>
        <v>Timely</v>
      </c>
      <c r="U46" t="s">
        <v>2923</v>
      </c>
    </row>
    <row r="47" spans="1:21" x14ac:dyDescent="0.25">
      <c r="A47" s="4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 s="6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1">
        <v>45447</v>
      </c>
      <c r="R47" s="1">
        <v>45457</v>
      </c>
      <c r="S47" s="14">
        <f>Sales[[#This Row],[DeliveryDate]]-Sales[[#This Row],[OrderDate]]</f>
        <v>10</v>
      </c>
      <c r="T47" s="14" t="str">
        <f>IF(Sales[[#This Row],[Delivery Days]]&lt;=$W$2, "Timely", "Delayed")</f>
        <v>Delayed</v>
      </c>
      <c r="U47" t="s">
        <v>2923</v>
      </c>
    </row>
    <row r="48" spans="1:21" x14ac:dyDescent="0.25">
      <c r="A48" s="4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 s="6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1">
        <v>45691</v>
      </c>
      <c r="R48" s="1">
        <v>45693</v>
      </c>
      <c r="S48" s="14">
        <f>Sales[[#This Row],[DeliveryDate]]-Sales[[#This Row],[OrderDate]]</f>
        <v>2</v>
      </c>
      <c r="T48" s="14" t="str">
        <f>IF(Sales[[#This Row],[Delivery Days]]&lt;=$W$2, "Timely", "Delayed")</f>
        <v>Timely</v>
      </c>
      <c r="U48" t="s">
        <v>2926</v>
      </c>
    </row>
    <row r="49" spans="1:21" x14ac:dyDescent="0.25">
      <c r="A49" s="4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 s="6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1">
        <v>45300</v>
      </c>
      <c r="R49" s="1">
        <v>45304</v>
      </c>
      <c r="S49" s="14">
        <f>Sales[[#This Row],[DeliveryDate]]-Sales[[#This Row],[OrderDate]]</f>
        <v>4</v>
      </c>
      <c r="T49" s="14" t="str">
        <f>IF(Sales[[#This Row],[Delivery Days]]&lt;=$W$2, "Timely", "Delayed")</f>
        <v>Timely</v>
      </c>
      <c r="U49" t="s">
        <v>2922</v>
      </c>
    </row>
    <row r="50" spans="1:21" x14ac:dyDescent="0.25">
      <c r="A50" s="4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 s="6">
        <v>743.17500000000007</v>
      </c>
      <c r="K50" t="s">
        <v>44</v>
      </c>
      <c r="L50" t="s">
        <v>2941</v>
      </c>
      <c r="M50">
        <v>0</v>
      </c>
      <c r="N50" t="s">
        <v>99</v>
      </c>
      <c r="O50" t="s">
        <v>1599</v>
      </c>
      <c r="P50">
        <v>20.57</v>
      </c>
      <c r="Q50" s="1">
        <v>45365</v>
      </c>
      <c r="R50" s="1">
        <v>45367</v>
      </c>
      <c r="S50" s="14">
        <f>Sales[[#This Row],[DeliveryDate]]-Sales[[#This Row],[OrderDate]]</f>
        <v>2</v>
      </c>
      <c r="T50" s="14" t="str">
        <f>IF(Sales[[#This Row],[Delivery Days]]&lt;=$W$2, "Timely", "Delayed")</f>
        <v>Timely</v>
      </c>
      <c r="U50" t="s">
        <v>2924</v>
      </c>
    </row>
    <row r="51" spans="1:21" x14ac:dyDescent="0.25">
      <c r="A51" s="4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 s="6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1">
        <v>45541</v>
      </c>
      <c r="R51" s="1">
        <v>45548</v>
      </c>
      <c r="S51" s="14">
        <f>Sales[[#This Row],[DeliveryDate]]-Sales[[#This Row],[OrderDate]]</f>
        <v>7</v>
      </c>
      <c r="T51" s="14" t="str">
        <f>IF(Sales[[#This Row],[Delivery Days]]&lt;=$W$2, "Timely", "Delayed")</f>
        <v>Delayed</v>
      </c>
      <c r="U51" t="s">
        <v>2926</v>
      </c>
    </row>
    <row r="52" spans="1:21" x14ac:dyDescent="0.25">
      <c r="A52" s="4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 s="6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1">
        <v>45002</v>
      </c>
      <c r="R52" s="1">
        <v>45005</v>
      </c>
      <c r="S52" s="14">
        <f>Sales[[#This Row],[DeliveryDate]]-Sales[[#This Row],[OrderDate]]</f>
        <v>3</v>
      </c>
      <c r="T52" s="14" t="str">
        <f>IF(Sales[[#This Row],[Delivery Days]]&lt;=$W$2, "Timely", "Delayed")</f>
        <v>Timely</v>
      </c>
      <c r="U52" t="s">
        <v>2922</v>
      </c>
    </row>
    <row r="53" spans="1:21" x14ac:dyDescent="0.25">
      <c r="A53" s="4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 s="6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1">
        <v>45674</v>
      </c>
      <c r="R53" s="1">
        <v>45681</v>
      </c>
      <c r="S53" s="14">
        <f>Sales[[#This Row],[DeliveryDate]]-Sales[[#This Row],[OrderDate]]</f>
        <v>7</v>
      </c>
      <c r="T53" s="14" t="str">
        <f>IF(Sales[[#This Row],[Delivery Days]]&lt;=$W$2, "Timely", "Delayed")</f>
        <v>Delayed</v>
      </c>
      <c r="U53" t="s">
        <v>2926</v>
      </c>
    </row>
    <row r="54" spans="1:21" x14ac:dyDescent="0.25">
      <c r="A54" s="4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 s="6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1">
        <v>45547</v>
      </c>
      <c r="R54" s="1">
        <v>45553</v>
      </c>
      <c r="S54" s="14">
        <f>Sales[[#This Row],[DeliveryDate]]-Sales[[#This Row],[OrderDate]]</f>
        <v>6</v>
      </c>
      <c r="T54" s="14" t="str">
        <f>IF(Sales[[#This Row],[Delivery Days]]&lt;=$W$2, "Timely", "Delayed")</f>
        <v>Timely</v>
      </c>
      <c r="U54" t="s">
        <v>2923</v>
      </c>
    </row>
    <row r="55" spans="1:21" x14ac:dyDescent="0.25">
      <c r="A55" s="4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 s="6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1">
        <v>45296</v>
      </c>
      <c r="R55" s="1">
        <v>45306</v>
      </c>
      <c r="S55" s="14">
        <f>Sales[[#This Row],[DeliveryDate]]-Sales[[#This Row],[OrderDate]]</f>
        <v>10</v>
      </c>
      <c r="T55" s="14" t="str">
        <f>IF(Sales[[#This Row],[Delivery Days]]&lt;=$W$2, "Timely", "Delayed")</f>
        <v>Delayed</v>
      </c>
      <c r="U55" t="s">
        <v>2923</v>
      </c>
    </row>
    <row r="56" spans="1:21" x14ac:dyDescent="0.25">
      <c r="A56" s="4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 s="6">
        <v>2695.0439999999999</v>
      </c>
      <c r="K56" t="s">
        <v>43</v>
      </c>
      <c r="L56" t="s">
        <v>2941</v>
      </c>
      <c r="M56">
        <v>0</v>
      </c>
      <c r="N56" t="s">
        <v>105</v>
      </c>
      <c r="O56" t="s">
        <v>1605</v>
      </c>
      <c r="P56">
        <v>37.39</v>
      </c>
      <c r="Q56" s="1">
        <v>45401</v>
      </c>
      <c r="R56" s="1">
        <v>45407</v>
      </c>
      <c r="S56" s="14">
        <f>Sales[[#This Row],[DeliveryDate]]-Sales[[#This Row],[OrderDate]]</f>
        <v>6</v>
      </c>
      <c r="T56" s="14" t="str">
        <f>IF(Sales[[#This Row],[Delivery Days]]&lt;=$W$2, "Timely", "Delayed")</f>
        <v>Timely</v>
      </c>
      <c r="U56" t="s">
        <v>2926</v>
      </c>
    </row>
    <row r="57" spans="1:21" x14ac:dyDescent="0.25">
      <c r="A57" s="4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 s="6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1">
        <v>45819</v>
      </c>
      <c r="R57" s="1">
        <v>45829</v>
      </c>
      <c r="S57" s="14">
        <f>Sales[[#This Row],[DeliveryDate]]-Sales[[#This Row],[OrderDate]]</f>
        <v>10</v>
      </c>
      <c r="T57" s="14" t="str">
        <f>IF(Sales[[#This Row],[Delivery Days]]&lt;=$W$2, "Timely", "Delayed")</f>
        <v>Delayed</v>
      </c>
      <c r="U57" t="s">
        <v>2925</v>
      </c>
    </row>
    <row r="58" spans="1:21" x14ac:dyDescent="0.25">
      <c r="A58" s="4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 s="6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1">
        <v>45722</v>
      </c>
      <c r="R58" s="1">
        <v>45731</v>
      </c>
      <c r="S58" s="14">
        <f>Sales[[#This Row],[DeliveryDate]]-Sales[[#This Row],[OrderDate]]</f>
        <v>9</v>
      </c>
      <c r="T58" s="14" t="str">
        <f>IF(Sales[[#This Row],[Delivery Days]]&lt;=$W$2, "Timely", "Delayed")</f>
        <v>Delayed</v>
      </c>
      <c r="U58" t="s">
        <v>2922</v>
      </c>
    </row>
    <row r="59" spans="1:21" x14ac:dyDescent="0.25">
      <c r="A59" s="4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 s="6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1">
        <v>45070</v>
      </c>
      <c r="R59" s="1">
        <v>45072</v>
      </c>
      <c r="S59" s="14">
        <f>Sales[[#This Row],[DeliveryDate]]-Sales[[#This Row],[OrderDate]]</f>
        <v>2</v>
      </c>
      <c r="T59" s="14" t="str">
        <f>IF(Sales[[#This Row],[Delivery Days]]&lt;=$W$2, "Timely", "Delayed")</f>
        <v>Timely</v>
      </c>
      <c r="U59" t="s">
        <v>2922</v>
      </c>
    </row>
    <row r="60" spans="1:21" x14ac:dyDescent="0.25">
      <c r="A60" s="4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 s="6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1">
        <v>44953</v>
      </c>
      <c r="R60" s="1">
        <v>44960</v>
      </c>
      <c r="S60" s="14">
        <f>Sales[[#This Row],[DeliveryDate]]-Sales[[#This Row],[OrderDate]]</f>
        <v>7</v>
      </c>
      <c r="T60" s="14" t="str">
        <f>IF(Sales[[#This Row],[Delivery Days]]&lt;=$W$2, "Timely", "Delayed")</f>
        <v>Delayed</v>
      </c>
      <c r="U60" t="s">
        <v>2923</v>
      </c>
    </row>
    <row r="61" spans="1:21" x14ac:dyDescent="0.25">
      <c r="A61" s="4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 s="6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1">
        <v>45372</v>
      </c>
      <c r="R61" s="1">
        <v>45378</v>
      </c>
      <c r="S61" s="14">
        <f>Sales[[#This Row],[DeliveryDate]]-Sales[[#This Row],[OrderDate]]</f>
        <v>6</v>
      </c>
      <c r="T61" s="14" t="str">
        <f>IF(Sales[[#This Row],[Delivery Days]]&lt;=$W$2, "Timely", "Delayed")</f>
        <v>Timely</v>
      </c>
      <c r="U61" t="s">
        <v>2923</v>
      </c>
    </row>
    <row r="62" spans="1:21" x14ac:dyDescent="0.25">
      <c r="A62" s="4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 s="6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1">
        <v>45682</v>
      </c>
      <c r="R62" s="1">
        <v>45688</v>
      </c>
      <c r="S62" s="14">
        <f>Sales[[#This Row],[DeliveryDate]]-Sales[[#This Row],[OrderDate]]</f>
        <v>6</v>
      </c>
      <c r="T62" s="14" t="str">
        <f>IF(Sales[[#This Row],[Delivery Days]]&lt;=$W$2, "Timely", "Delayed")</f>
        <v>Timely</v>
      </c>
      <c r="U62" t="s">
        <v>2926</v>
      </c>
    </row>
    <row r="63" spans="1:21" x14ac:dyDescent="0.25">
      <c r="A63" s="4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 s="6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1">
        <v>45089</v>
      </c>
      <c r="R63" s="1">
        <v>45098</v>
      </c>
      <c r="S63" s="14">
        <f>Sales[[#This Row],[DeliveryDate]]-Sales[[#This Row],[OrderDate]]</f>
        <v>9</v>
      </c>
      <c r="T63" s="14" t="str">
        <f>IF(Sales[[#This Row],[Delivery Days]]&lt;=$W$2, "Timely", "Delayed")</f>
        <v>Delayed</v>
      </c>
      <c r="U63" t="s">
        <v>2925</v>
      </c>
    </row>
    <row r="64" spans="1:21" x14ac:dyDescent="0.25">
      <c r="A64" s="4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 s="6">
        <v>1283.5530000000001</v>
      </c>
      <c r="K64" t="s">
        <v>44</v>
      </c>
      <c r="L64" t="s">
        <v>2941</v>
      </c>
      <c r="M64">
        <v>0</v>
      </c>
      <c r="N64" t="s">
        <v>113</v>
      </c>
      <c r="O64" t="s">
        <v>1613</v>
      </c>
      <c r="P64">
        <v>15.62</v>
      </c>
      <c r="Q64" s="1">
        <v>45738</v>
      </c>
      <c r="R64" s="1">
        <v>45742</v>
      </c>
      <c r="S64" s="14">
        <f>Sales[[#This Row],[DeliveryDate]]-Sales[[#This Row],[OrderDate]]</f>
        <v>4</v>
      </c>
      <c r="T64" s="14" t="str">
        <f>IF(Sales[[#This Row],[Delivery Days]]&lt;=$W$2, "Timely", "Delayed")</f>
        <v>Timely</v>
      </c>
      <c r="U64" t="s">
        <v>2925</v>
      </c>
    </row>
    <row r="65" spans="1:21" x14ac:dyDescent="0.25">
      <c r="A65" s="4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 s="6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1">
        <v>45346</v>
      </c>
      <c r="R65" s="1">
        <v>45349</v>
      </c>
      <c r="S65" s="14">
        <f>Sales[[#This Row],[DeliveryDate]]-Sales[[#This Row],[OrderDate]]</f>
        <v>3</v>
      </c>
      <c r="T65" s="14" t="str">
        <f>IF(Sales[[#This Row],[Delivery Days]]&lt;=$W$2, "Timely", "Delayed")</f>
        <v>Timely</v>
      </c>
      <c r="U65" t="s">
        <v>2925</v>
      </c>
    </row>
    <row r="66" spans="1:21" x14ac:dyDescent="0.25">
      <c r="A66" s="4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 s="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1">
        <v>45269</v>
      </c>
      <c r="R66" s="1">
        <v>45272</v>
      </c>
      <c r="S66" s="14">
        <f>Sales[[#This Row],[DeliveryDate]]-Sales[[#This Row],[OrderDate]]</f>
        <v>3</v>
      </c>
      <c r="T66" s="14" t="str">
        <f>IF(Sales[[#This Row],[Delivery Days]]&lt;=$W$2, "Timely", "Delayed")</f>
        <v>Timely</v>
      </c>
      <c r="U66" t="s">
        <v>2923</v>
      </c>
    </row>
    <row r="67" spans="1:21" x14ac:dyDescent="0.25">
      <c r="A67" s="4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 s="6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1">
        <v>45200</v>
      </c>
      <c r="R67" s="1">
        <v>45204</v>
      </c>
      <c r="S67" s="14">
        <f>Sales[[#This Row],[DeliveryDate]]-Sales[[#This Row],[OrderDate]]</f>
        <v>4</v>
      </c>
      <c r="T67" s="14" t="str">
        <f>IF(Sales[[#This Row],[Delivery Days]]&lt;=$W$2, "Timely", "Delayed")</f>
        <v>Timely</v>
      </c>
      <c r="U67" t="s">
        <v>2925</v>
      </c>
    </row>
    <row r="68" spans="1:21" x14ac:dyDescent="0.25">
      <c r="A68" s="4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 s="6">
        <v>2329.9699999999998</v>
      </c>
      <c r="K68" t="s">
        <v>43</v>
      </c>
      <c r="L68" t="s">
        <v>2941</v>
      </c>
      <c r="M68">
        <v>0</v>
      </c>
      <c r="N68" t="s">
        <v>117</v>
      </c>
      <c r="O68" t="s">
        <v>1617</v>
      </c>
      <c r="P68">
        <v>12.24</v>
      </c>
      <c r="Q68" s="1">
        <v>45138</v>
      </c>
      <c r="R68" s="1">
        <v>45145</v>
      </c>
      <c r="S68" s="14">
        <f>Sales[[#This Row],[DeliveryDate]]-Sales[[#This Row],[OrderDate]]</f>
        <v>7</v>
      </c>
      <c r="T68" s="14" t="str">
        <f>IF(Sales[[#This Row],[Delivery Days]]&lt;=$W$2, "Timely", "Delayed")</f>
        <v>Delayed</v>
      </c>
      <c r="U68" t="s">
        <v>2926</v>
      </c>
    </row>
    <row r="69" spans="1:21" x14ac:dyDescent="0.25">
      <c r="A69" s="4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 s="6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1">
        <v>45650</v>
      </c>
      <c r="R69" s="1">
        <v>45657</v>
      </c>
      <c r="S69" s="14">
        <f>Sales[[#This Row],[DeliveryDate]]-Sales[[#This Row],[OrderDate]]</f>
        <v>7</v>
      </c>
      <c r="T69" s="14" t="str">
        <f>IF(Sales[[#This Row],[Delivery Days]]&lt;=$W$2, "Timely", "Delayed")</f>
        <v>Delayed</v>
      </c>
      <c r="U69" t="s">
        <v>2923</v>
      </c>
    </row>
    <row r="70" spans="1:21" x14ac:dyDescent="0.25">
      <c r="A70" s="4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 s="6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1">
        <v>45611</v>
      </c>
      <c r="R70" s="1">
        <v>45615</v>
      </c>
      <c r="S70" s="14">
        <f>Sales[[#This Row],[DeliveryDate]]-Sales[[#This Row],[OrderDate]]</f>
        <v>4</v>
      </c>
      <c r="T70" s="14" t="str">
        <f>IF(Sales[[#This Row],[Delivery Days]]&lt;=$W$2, "Timely", "Delayed")</f>
        <v>Timely</v>
      </c>
      <c r="U70" t="s">
        <v>2924</v>
      </c>
    </row>
    <row r="71" spans="1:21" x14ac:dyDescent="0.25">
      <c r="A71" s="4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 s="6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1">
        <v>45729</v>
      </c>
      <c r="R71" s="1">
        <v>45738</v>
      </c>
      <c r="S71" s="14">
        <f>Sales[[#This Row],[DeliveryDate]]-Sales[[#This Row],[OrderDate]]</f>
        <v>9</v>
      </c>
      <c r="T71" s="14" t="str">
        <f>IF(Sales[[#This Row],[Delivery Days]]&lt;=$W$2, "Timely", "Delayed")</f>
        <v>Delayed</v>
      </c>
      <c r="U71" t="s">
        <v>2926</v>
      </c>
    </row>
    <row r="72" spans="1:21" x14ac:dyDescent="0.25">
      <c r="A72" s="4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 s="6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1">
        <v>45354</v>
      </c>
      <c r="R72" s="1">
        <v>45363</v>
      </c>
      <c r="S72" s="14">
        <f>Sales[[#This Row],[DeliveryDate]]-Sales[[#This Row],[OrderDate]]</f>
        <v>9</v>
      </c>
      <c r="T72" s="14" t="str">
        <f>IF(Sales[[#This Row],[Delivery Days]]&lt;=$W$2, "Timely", "Delayed")</f>
        <v>Delayed</v>
      </c>
      <c r="U72" t="s">
        <v>2922</v>
      </c>
    </row>
    <row r="73" spans="1:21" x14ac:dyDescent="0.25">
      <c r="A73" s="4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 s="6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1">
        <v>44968</v>
      </c>
      <c r="R73" s="1">
        <v>44971</v>
      </c>
      <c r="S73" s="14">
        <f>Sales[[#This Row],[DeliveryDate]]-Sales[[#This Row],[OrderDate]]</f>
        <v>3</v>
      </c>
      <c r="T73" s="14" t="str">
        <f>IF(Sales[[#This Row],[Delivery Days]]&lt;=$W$2, "Timely", "Delayed")</f>
        <v>Timely</v>
      </c>
      <c r="U73" t="s">
        <v>2925</v>
      </c>
    </row>
    <row r="74" spans="1:21" x14ac:dyDescent="0.25">
      <c r="A74" s="4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 s="6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1">
        <v>45225</v>
      </c>
      <c r="R74" s="1">
        <v>45235</v>
      </c>
      <c r="S74" s="14">
        <f>Sales[[#This Row],[DeliveryDate]]-Sales[[#This Row],[OrderDate]]</f>
        <v>10</v>
      </c>
      <c r="T74" s="14" t="str">
        <f>IF(Sales[[#This Row],[Delivery Days]]&lt;=$W$2, "Timely", "Delayed")</f>
        <v>Delayed</v>
      </c>
      <c r="U74" t="s">
        <v>2923</v>
      </c>
    </row>
    <row r="75" spans="1:21" x14ac:dyDescent="0.25">
      <c r="A75" s="4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 s="6">
        <v>2418.6239999999998</v>
      </c>
      <c r="K75" t="s">
        <v>45</v>
      </c>
      <c r="L75" t="s">
        <v>2941</v>
      </c>
      <c r="M75">
        <v>0</v>
      </c>
      <c r="N75" t="s">
        <v>124</v>
      </c>
      <c r="O75" t="s">
        <v>1624</v>
      </c>
      <c r="P75">
        <v>33.520000000000003</v>
      </c>
      <c r="Q75" s="1">
        <v>45220</v>
      </c>
      <c r="R75" s="1">
        <v>45227</v>
      </c>
      <c r="S75" s="14">
        <f>Sales[[#This Row],[DeliveryDate]]-Sales[[#This Row],[OrderDate]]</f>
        <v>7</v>
      </c>
      <c r="T75" s="14" t="str">
        <f>IF(Sales[[#This Row],[Delivery Days]]&lt;=$W$2, "Timely", "Delayed")</f>
        <v>Delayed</v>
      </c>
      <c r="U75" t="s">
        <v>2923</v>
      </c>
    </row>
    <row r="76" spans="1:21" x14ac:dyDescent="0.25">
      <c r="A76" s="4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 s="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1">
        <v>45305</v>
      </c>
      <c r="R76" s="1">
        <v>45311</v>
      </c>
      <c r="S76" s="14">
        <f>Sales[[#This Row],[DeliveryDate]]-Sales[[#This Row],[OrderDate]]</f>
        <v>6</v>
      </c>
      <c r="T76" s="14" t="str">
        <f>IF(Sales[[#This Row],[Delivery Days]]&lt;=$W$2, "Timely", "Delayed")</f>
        <v>Timely</v>
      </c>
      <c r="U76" t="s">
        <v>2925</v>
      </c>
    </row>
    <row r="77" spans="1:21" x14ac:dyDescent="0.25">
      <c r="A77" s="4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 s="6">
        <v>4985.1899999999996</v>
      </c>
      <c r="K77" t="s">
        <v>43</v>
      </c>
      <c r="L77" t="s">
        <v>2941</v>
      </c>
      <c r="M77">
        <v>0</v>
      </c>
      <c r="N77" t="s">
        <v>126</v>
      </c>
      <c r="O77" t="s">
        <v>1626</v>
      </c>
      <c r="P77">
        <v>31.3</v>
      </c>
      <c r="Q77" s="1">
        <v>45134</v>
      </c>
      <c r="R77" s="1">
        <v>45138</v>
      </c>
      <c r="S77" s="14">
        <f>Sales[[#This Row],[DeliveryDate]]-Sales[[#This Row],[OrderDate]]</f>
        <v>4</v>
      </c>
      <c r="T77" s="14" t="str">
        <f>IF(Sales[[#This Row],[Delivery Days]]&lt;=$W$2, "Timely", "Delayed")</f>
        <v>Timely</v>
      </c>
      <c r="U77" t="s">
        <v>2925</v>
      </c>
    </row>
    <row r="78" spans="1:21" x14ac:dyDescent="0.25">
      <c r="A78" s="4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 s="6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1">
        <v>45588</v>
      </c>
      <c r="R78" s="1">
        <v>45590</v>
      </c>
      <c r="S78" s="14">
        <f>Sales[[#This Row],[DeliveryDate]]-Sales[[#This Row],[OrderDate]]</f>
        <v>2</v>
      </c>
      <c r="T78" s="14" t="str">
        <f>IF(Sales[[#This Row],[Delivery Days]]&lt;=$W$2, "Timely", "Delayed")</f>
        <v>Timely</v>
      </c>
      <c r="U78" t="s">
        <v>2923</v>
      </c>
    </row>
    <row r="79" spans="1:21" x14ac:dyDescent="0.25">
      <c r="A79" s="4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 s="6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1">
        <v>45195</v>
      </c>
      <c r="R79" s="1">
        <v>45200</v>
      </c>
      <c r="S79" s="14">
        <f>Sales[[#This Row],[DeliveryDate]]-Sales[[#This Row],[OrderDate]]</f>
        <v>5</v>
      </c>
      <c r="T79" s="14" t="str">
        <f>IF(Sales[[#This Row],[Delivery Days]]&lt;=$W$2, "Timely", "Delayed")</f>
        <v>Timely</v>
      </c>
      <c r="U79" t="s">
        <v>2923</v>
      </c>
    </row>
    <row r="80" spans="1:21" x14ac:dyDescent="0.25">
      <c r="A80" s="4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 s="6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1">
        <v>45276</v>
      </c>
      <c r="R80" s="1">
        <v>45280</v>
      </c>
      <c r="S80" s="14">
        <f>Sales[[#This Row],[DeliveryDate]]-Sales[[#This Row],[OrderDate]]</f>
        <v>4</v>
      </c>
      <c r="T80" s="14" t="str">
        <f>IF(Sales[[#This Row],[Delivery Days]]&lt;=$W$2, "Timely", "Delayed")</f>
        <v>Timely</v>
      </c>
      <c r="U80" t="s">
        <v>2922</v>
      </c>
    </row>
    <row r="81" spans="1:21" x14ac:dyDescent="0.25">
      <c r="A81" s="4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 s="6">
        <v>6686.67</v>
      </c>
      <c r="K81" t="s">
        <v>45</v>
      </c>
      <c r="L81" t="s">
        <v>2941</v>
      </c>
      <c r="M81">
        <v>0</v>
      </c>
      <c r="N81" t="s">
        <v>130</v>
      </c>
      <c r="O81" t="s">
        <v>1630</v>
      </c>
      <c r="P81">
        <v>39.979999999999997</v>
      </c>
      <c r="Q81" s="1">
        <v>45293</v>
      </c>
      <c r="R81" s="1">
        <v>45296</v>
      </c>
      <c r="S81" s="14">
        <f>Sales[[#This Row],[DeliveryDate]]-Sales[[#This Row],[OrderDate]]</f>
        <v>3</v>
      </c>
      <c r="T81" s="14" t="str">
        <f>IF(Sales[[#This Row],[Delivery Days]]&lt;=$W$2, "Timely", "Delayed")</f>
        <v>Timely</v>
      </c>
      <c r="U81" t="s">
        <v>2925</v>
      </c>
    </row>
    <row r="82" spans="1:21" x14ac:dyDescent="0.25">
      <c r="A82" s="4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 s="6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1">
        <v>45338</v>
      </c>
      <c r="R82" s="1">
        <v>45347</v>
      </c>
      <c r="S82" s="14">
        <f>Sales[[#This Row],[DeliveryDate]]-Sales[[#This Row],[OrderDate]]</f>
        <v>9</v>
      </c>
      <c r="T82" s="14" t="str">
        <f>IF(Sales[[#This Row],[Delivery Days]]&lt;=$W$2, "Timely", "Delayed")</f>
        <v>Delayed</v>
      </c>
      <c r="U82" t="s">
        <v>2924</v>
      </c>
    </row>
    <row r="83" spans="1:21" x14ac:dyDescent="0.25">
      <c r="A83" s="4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 s="6">
        <v>1772.0374999999999</v>
      </c>
      <c r="K83" t="s">
        <v>43</v>
      </c>
      <c r="L83" t="s">
        <v>2941</v>
      </c>
      <c r="M83">
        <v>1</v>
      </c>
      <c r="N83" t="s">
        <v>132</v>
      </c>
      <c r="O83" t="s">
        <v>1632</v>
      </c>
      <c r="P83">
        <v>24.03</v>
      </c>
      <c r="Q83" s="1">
        <v>45415</v>
      </c>
      <c r="R83" s="1">
        <v>45424</v>
      </c>
      <c r="S83" s="14">
        <f>Sales[[#This Row],[DeliveryDate]]-Sales[[#This Row],[OrderDate]]</f>
        <v>9</v>
      </c>
      <c r="T83" s="14" t="str">
        <f>IF(Sales[[#This Row],[Delivery Days]]&lt;=$W$2, "Timely", "Delayed")</f>
        <v>Delayed</v>
      </c>
      <c r="U83" t="s">
        <v>2922</v>
      </c>
    </row>
    <row r="84" spans="1:21" x14ac:dyDescent="0.25">
      <c r="A84" s="4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 s="6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1">
        <v>45073</v>
      </c>
      <c r="R84" s="1">
        <v>45079</v>
      </c>
      <c r="S84" s="14">
        <f>Sales[[#This Row],[DeliveryDate]]-Sales[[#This Row],[OrderDate]]</f>
        <v>6</v>
      </c>
      <c r="T84" s="14" t="str">
        <f>IF(Sales[[#This Row],[Delivery Days]]&lt;=$W$2, "Timely", "Delayed")</f>
        <v>Timely</v>
      </c>
      <c r="U84" t="s">
        <v>2926</v>
      </c>
    </row>
    <row r="85" spans="1:21" x14ac:dyDescent="0.25">
      <c r="A85" s="4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 s="6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1">
        <v>44931</v>
      </c>
      <c r="R85" s="1">
        <v>44937</v>
      </c>
      <c r="S85" s="14">
        <f>Sales[[#This Row],[DeliveryDate]]-Sales[[#This Row],[OrderDate]]</f>
        <v>6</v>
      </c>
      <c r="T85" s="14" t="str">
        <f>IF(Sales[[#This Row],[Delivery Days]]&lt;=$W$2, "Timely", "Delayed")</f>
        <v>Timely</v>
      </c>
      <c r="U85" t="s">
        <v>2922</v>
      </c>
    </row>
    <row r="86" spans="1:21" x14ac:dyDescent="0.25">
      <c r="A86" s="4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 s="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1">
        <v>45798</v>
      </c>
      <c r="R86" s="1">
        <v>45800</v>
      </c>
      <c r="S86" s="14">
        <f>Sales[[#This Row],[DeliveryDate]]-Sales[[#This Row],[OrderDate]]</f>
        <v>2</v>
      </c>
      <c r="T86" s="14" t="str">
        <f>IF(Sales[[#This Row],[Delivery Days]]&lt;=$W$2, "Timely", "Delayed")</f>
        <v>Timely</v>
      </c>
      <c r="U86" t="s">
        <v>2922</v>
      </c>
    </row>
    <row r="87" spans="1:21" x14ac:dyDescent="0.25">
      <c r="A87" s="4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 s="6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1">
        <v>45128</v>
      </c>
      <c r="R87" s="1">
        <v>45132</v>
      </c>
      <c r="S87" s="14">
        <f>Sales[[#This Row],[DeliveryDate]]-Sales[[#This Row],[OrderDate]]</f>
        <v>4</v>
      </c>
      <c r="T87" s="14" t="str">
        <f>IF(Sales[[#This Row],[Delivery Days]]&lt;=$W$2, "Timely", "Delayed")</f>
        <v>Timely</v>
      </c>
      <c r="U87" t="s">
        <v>2925</v>
      </c>
    </row>
    <row r="88" spans="1:21" x14ac:dyDescent="0.25">
      <c r="A88" s="4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 s="6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1">
        <v>45802</v>
      </c>
      <c r="R88" s="1">
        <v>45811</v>
      </c>
      <c r="S88" s="14">
        <f>Sales[[#This Row],[DeliveryDate]]-Sales[[#This Row],[OrderDate]]</f>
        <v>9</v>
      </c>
      <c r="T88" s="14" t="str">
        <f>IF(Sales[[#This Row],[Delivery Days]]&lt;=$W$2, "Timely", "Delayed")</f>
        <v>Delayed</v>
      </c>
      <c r="U88" t="s">
        <v>2922</v>
      </c>
    </row>
    <row r="89" spans="1:21" x14ac:dyDescent="0.25">
      <c r="A89" s="4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 s="6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1">
        <v>45612</v>
      </c>
      <c r="R89" s="1">
        <v>45618</v>
      </c>
      <c r="S89" s="14">
        <f>Sales[[#This Row],[DeliveryDate]]-Sales[[#This Row],[OrderDate]]</f>
        <v>6</v>
      </c>
      <c r="T89" s="14" t="str">
        <f>IF(Sales[[#This Row],[Delivery Days]]&lt;=$W$2, "Timely", "Delayed")</f>
        <v>Timely</v>
      </c>
      <c r="U89" t="s">
        <v>2923</v>
      </c>
    </row>
    <row r="90" spans="1:21" x14ac:dyDescent="0.25">
      <c r="A90" s="4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 s="6">
        <v>7992.616</v>
      </c>
      <c r="K90" t="s">
        <v>43</v>
      </c>
      <c r="L90" t="s">
        <v>2941</v>
      </c>
      <c r="M90">
        <v>0</v>
      </c>
      <c r="N90" t="s">
        <v>139</v>
      </c>
      <c r="O90" t="s">
        <v>1639</v>
      </c>
      <c r="P90">
        <v>36.47</v>
      </c>
      <c r="Q90" s="1">
        <v>45249</v>
      </c>
      <c r="R90" s="1">
        <v>45255</v>
      </c>
      <c r="S90" s="14">
        <f>Sales[[#This Row],[DeliveryDate]]-Sales[[#This Row],[OrderDate]]</f>
        <v>6</v>
      </c>
      <c r="T90" s="14" t="str">
        <f>IF(Sales[[#This Row],[Delivery Days]]&lt;=$W$2, "Timely", "Delayed")</f>
        <v>Timely</v>
      </c>
      <c r="U90" t="s">
        <v>2924</v>
      </c>
    </row>
    <row r="91" spans="1:21" x14ac:dyDescent="0.25">
      <c r="A91" s="4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 s="6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1">
        <v>45669</v>
      </c>
      <c r="R91" s="1">
        <v>45678</v>
      </c>
      <c r="S91" s="14">
        <f>Sales[[#This Row],[DeliveryDate]]-Sales[[#This Row],[OrderDate]]</f>
        <v>9</v>
      </c>
      <c r="T91" s="14" t="str">
        <f>IF(Sales[[#This Row],[Delivery Days]]&lt;=$W$2, "Timely", "Delayed")</f>
        <v>Delayed</v>
      </c>
      <c r="U91" t="s">
        <v>2925</v>
      </c>
    </row>
    <row r="92" spans="1:21" x14ac:dyDescent="0.25">
      <c r="A92" s="4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 s="6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1">
        <v>45014</v>
      </c>
      <c r="R92" s="1">
        <v>45019</v>
      </c>
      <c r="S92" s="14">
        <f>Sales[[#This Row],[DeliveryDate]]-Sales[[#This Row],[OrderDate]]</f>
        <v>5</v>
      </c>
      <c r="T92" s="14" t="str">
        <f>IF(Sales[[#This Row],[Delivery Days]]&lt;=$W$2, "Timely", "Delayed")</f>
        <v>Timely</v>
      </c>
      <c r="U92" t="s">
        <v>2924</v>
      </c>
    </row>
    <row r="93" spans="1:21" x14ac:dyDescent="0.25">
      <c r="A93" s="4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 s="6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1">
        <v>45717</v>
      </c>
      <c r="R93" s="1">
        <v>45721</v>
      </c>
      <c r="S93" s="14">
        <f>Sales[[#This Row],[DeliveryDate]]-Sales[[#This Row],[OrderDate]]</f>
        <v>4</v>
      </c>
      <c r="T93" s="14" t="str">
        <f>IF(Sales[[#This Row],[Delivery Days]]&lt;=$W$2, "Timely", "Delayed")</f>
        <v>Timely</v>
      </c>
      <c r="U93" t="s">
        <v>2924</v>
      </c>
    </row>
    <row r="94" spans="1:21" x14ac:dyDescent="0.25">
      <c r="A94" s="4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 s="6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1">
        <v>45217</v>
      </c>
      <c r="R94" s="1">
        <v>45219</v>
      </c>
      <c r="S94" s="14">
        <f>Sales[[#This Row],[DeliveryDate]]-Sales[[#This Row],[OrderDate]]</f>
        <v>2</v>
      </c>
      <c r="T94" s="14" t="str">
        <f>IF(Sales[[#This Row],[Delivery Days]]&lt;=$W$2, "Timely", "Delayed")</f>
        <v>Timely</v>
      </c>
      <c r="U94" t="s">
        <v>2924</v>
      </c>
    </row>
    <row r="95" spans="1:21" x14ac:dyDescent="0.25">
      <c r="A95" s="4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 s="6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1">
        <v>45760</v>
      </c>
      <c r="R95" s="1">
        <v>45762</v>
      </c>
      <c r="S95" s="14">
        <f>Sales[[#This Row],[DeliveryDate]]-Sales[[#This Row],[OrderDate]]</f>
        <v>2</v>
      </c>
      <c r="T95" s="14" t="str">
        <f>IF(Sales[[#This Row],[Delivery Days]]&lt;=$W$2, "Timely", "Delayed")</f>
        <v>Timely</v>
      </c>
      <c r="U95" t="s">
        <v>2922</v>
      </c>
    </row>
    <row r="96" spans="1:21" x14ac:dyDescent="0.25">
      <c r="A96" s="4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 s="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1">
        <v>45790</v>
      </c>
      <c r="R96" s="1">
        <v>45800</v>
      </c>
      <c r="S96" s="14">
        <f>Sales[[#This Row],[DeliveryDate]]-Sales[[#This Row],[OrderDate]]</f>
        <v>10</v>
      </c>
      <c r="T96" s="14" t="str">
        <f>IF(Sales[[#This Row],[Delivery Days]]&lt;=$W$2, "Timely", "Delayed")</f>
        <v>Delayed</v>
      </c>
      <c r="U96" t="s">
        <v>2925</v>
      </c>
    </row>
    <row r="97" spans="1:21" x14ac:dyDescent="0.25">
      <c r="A97" s="4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 s="6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1">
        <v>45403</v>
      </c>
      <c r="R97" s="1">
        <v>45409</v>
      </c>
      <c r="S97" s="14">
        <f>Sales[[#This Row],[DeliveryDate]]-Sales[[#This Row],[OrderDate]]</f>
        <v>6</v>
      </c>
      <c r="T97" s="14" t="str">
        <f>IF(Sales[[#This Row],[Delivery Days]]&lt;=$W$2, "Timely", "Delayed")</f>
        <v>Timely</v>
      </c>
      <c r="U97" t="s">
        <v>2926</v>
      </c>
    </row>
    <row r="98" spans="1:21" x14ac:dyDescent="0.25">
      <c r="A98" s="4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 s="6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1">
        <v>45688</v>
      </c>
      <c r="R98" s="1">
        <v>45696</v>
      </c>
      <c r="S98" s="14">
        <f>Sales[[#This Row],[DeliveryDate]]-Sales[[#This Row],[OrderDate]]</f>
        <v>8</v>
      </c>
      <c r="T98" s="14" t="str">
        <f>IF(Sales[[#This Row],[Delivery Days]]&lt;=$W$2, "Timely", "Delayed")</f>
        <v>Delayed</v>
      </c>
      <c r="U98" t="s">
        <v>2925</v>
      </c>
    </row>
    <row r="99" spans="1:21" x14ac:dyDescent="0.25">
      <c r="A99" s="4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 s="6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1">
        <v>45730</v>
      </c>
      <c r="R99" s="1">
        <v>45735</v>
      </c>
      <c r="S99" s="14">
        <f>Sales[[#This Row],[DeliveryDate]]-Sales[[#This Row],[OrderDate]]</f>
        <v>5</v>
      </c>
      <c r="T99" s="14" t="str">
        <f>IF(Sales[[#This Row],[Delivery Days]]&lt;=$W$2, "Timely", "Delayed")</f>
        <v>Timely</v>
      </c>
      <c r="U99" t="s">
        <v>2925</v>
      </c>
    </row>
    <row r="100" spans="1:21" x14ac:dyDescent="0.25">
      <c r="A100" s="4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 s="6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1">
        <v>45438</v>
      </c>
      <c r="R100" s="1">
        <v>45441</v>
      </c>
      <c r="S100" s="14">
        <f>Sales[[#This Row],[DeliveryDate]]-Sales[[#This Row],[OrderDate]]</f>
        <v>3</v>
      </c>
      <c r="T100" s="14" t="str">
        <f>IF(Sales[[#This Row],[Delivery Days]]&lt;=$W$2, "Timely", "Delayed")</f>
        <v>Timely</v>
      </c>
      <c r="U100" t="s">
        <v>2926</v>
      </c>
    </row>
    <row r="101" spans="1:21" x14ac:dyDescent="0.25">
      <c r="A101" s="4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 s="6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1">
        <v>45129</v>
      </c>
      <c r="R101" s="1">
        <v>45133</v>
      </c>
      <c r="S101" s="14">
        <f>Sales[[#This Row],[DeliveryDate]]-Sales[[#This Row],[OrderDate]]</f>
        <v>4</v>
      </c>
      <c r="T101" s="14" t="str">
        <f>IF(Sales[[#This Row],[Delivery Days]]&lt;=$W$2, "Timely", "Delayed")</f>
        <v>Timely</v>
      </c>
      <c r="U101" t="s">
        <v>2924</v>
      </c>
    </row>
    <row r="102" spans="1:21" x14ac:dyDescent="0.25">
      <c r="A102" s="4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 s="6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1">
        <v>45372</v>
      </c>
      <c r="R102" s="1">
        <v>45381</v>
      </c>
      <c r="S102" s="14">
        <f>Sales[[#This Row],[DeliveryDate]]-Sales[[#This Row],[OrderDate]]</f>
        <v>9</v>
      </c>
      <c r="T102" s="14" t="str">
        <f>IF(Sales[[#This Row],[Delivery Days]]&lt;=$W$2, "Timely", "Delayed")</f>
        <v>Delayed</v>
      </c>
      <c r="U102" t="s">
        <v>2924</v>
      </c>
    </row>
    <row r="103" spans="1:21" x14ac:dyDescent="0.25">
      <c r="A103" s="4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 s="6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1">
        <v>45021</v>
      </c>
      <c r="R103" s="1">
        <v>45024</v>
      </c>
      <c r="S103" s="14">
        <f>Sales[[#This Row],[DeliveryDate]]-Sales[[#This Row],[OrderDate]]</f>
        <v>3</v>
      </c>
      <c r="T103" s="14" t="str">
        <f>IF(Sales[[#This Row],[Delivery Days]]&lt;=$W$2, "Timely", "Delayed")</f>
        <v>Timely</v>
      </c>
      <c r="U103" t="s">
        <v>2926</v>
      </c>
    </row>
    <row r="104" spans="1:21" x14ac:dyDescent="0.25">
      <c r="A104" s="4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 s="6">
        <v>1074.165</v>
      </c>
      <c r="K104" t="s">
        <v>44</v>
      </c>
      <c r="L104" t="s">
        <v>2941</v>
      </c>
      <c r="M104">
        <v>0</v>
      </c>
      <c r="N104" t="s">
        <v>153</v>
      </c>
      <c r="O104" t="s">
        <v>1653</v>
      </c>
      <c r="P104">
        <v>6.77</v>
      </c>
      <c r="Q104" s="1">
        <v>45530</v>
      </c>
      <c r="R104" s="1">
        <v>45536</v>
      </c>
      <c r="S104" s="14">
        <f>Sales[[#This Row],[DeliveryDate]]-Sales[[#This Row],[OrderDate]]</f>
        <v>6</v>
      </c>
      <c r="T104" s="14" t="str">
        <f>IF(Sales[[#This Row],[Delivery Days]]&lt;=$W$2, "Timely", "Delayed")</f>
        <v>Timely</v>
      </c>
      <c r="U104" t="s">
        <v>2922</v>
      </c>
    </row>
    <row r="105" spans="1:21" x14ac:dyDescent="0.25">
      <c r="A105" s="4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 s="6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1">
        <v>45480</v>
      </c>
      <c r="R105" s="1">
        <v>45490</v>
      </c>
      <c r="S105" s="14">
        <f>Sales[[#This Row],[DeliveryDate]]-Sales[[#This Row],[OrderDate]]</f>
        <v>10</v>
      </c>
      <c r="T105" s="14" t="str">
        <f>IF(Sales[[#This Row],[Delivery Days]]&lt;=$W$2, "Timely", "Delayed")</f>
        <v>Delayed</v>
      </c>
      <c r="U105" t="s">
        <v>2924</v>
      </c>
    </row>
    <row r="106" spans="1:21" x14ac:dyDescent="0.25">
      <c r="A106" s="4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 s="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1">
        <v>45198</v>
      </c>
      <c r="R106" s="1">
        <v>45207</v>
      </c>
      <c r="S106" s="14">
        <f>Sales[[#This Row],[DeliveryDate]]-Sales[[#This Row],[OrderDate]]</f>
        <v>9</v>
      </c>
      <c r="T106" s="14" t="str">
        <f>IF(Sales[[#This Row],[Delivery Days]]&lt;=$W$2, "Timely", "Delayed")</f>
        <v>Delayed</v>
      </c>
      <c r="U106" t="s">
        <v>2922</v>
      </c>
    </row>
    <row r="107" spans="1:21" x14ac:dyDescent="0.25">
      <c r="A107" s="4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 s="6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1">
        <v>45203</v>
      </c>
      <c r="R107" s="1">
        <v>45210</v>
      </c>
      <c r="S107" s="14">
        <f>Sales[[#This Row],[DeliveryDate]]-Sales[[#This Row],[OrderDate]]</f>
        <v>7</v>
      </c>
      <c r="T107" s="14" t="str">
        <f>IF(Sales[[#This Row],[Delivery Days]]&lt;=$W$2, "Timely", "Delayed")</f>
        <v>Delayed</v>
      </c>
      <c r="U107" t="s">
        <v>2926</v>
      </c>
    </row>
    <row r="108" spans="1:21" x14ac:dyDescent="0.25">
      <c r="A108" s="4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 s="6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1">
        <v>45817</v>
      </c>
      <c r="R108" s="1">
        <v>45824</v>
      </c>
      <c r="S108" s="14">
        <f>Sales[[#This Row],[DeliveryDate]]-Sales[[#This Row],[OrderDate]]</f>
        <v>7</v>
      </c>
      <c r="T108" s="14" t="str">
        <f>IF(Sales[[#This Row],[Delivery Days]]&lt;=$W$2, "Timely", "Delayed")</f>
        <v>Delayed</v>
      </c>
      <c r="U108" t="s">
        <v>2925</v>
      </c>
    </row>
    <row r="109" spans="1:21" x14ac:dyDescent="0.25">
      <c r="A109" s="4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 s="6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1">
        <v>45820</v>
      </c>
      <c r="R109" s="1">
        <v>45822</v>
      </c>
      <c r="S109" s="14">
        <f>Sales[[#This Row],[DeliveryDate]]-Sales[[#This Row],[OrderDate]]</f>
        <v>2</v>
      </c>
      <c r="T109" s="14" t="str">
        <f>IF(Sales[[#This Row],[Delivery Days]]&lt;=$W$2, "Timely", "Delayed")</f>
        <v>Timely</v>
      </c>
      <c r="U109" t="s">
        <v>2922</v>
      </c>
    </row>
    <row r="110" spans="1:21" x14ac:dyDescent="0.25">
      <c r="A110" s="4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 s="6">
        <v>504.15</v>
      </c>
      <c r="K110" t="s">
        <v>47</v>
      </c>
      <c r="L110" t="s">
        <v>2941</v>
      </c>
      <c r="M110">
        <v>1</v>
      </c>
      <c r="N110" t="s">
        <v>159</v>
      </c>
      <c r="O110" t="s">
        <v>1659</v>
      </c>
      <c r="P110">
        <v>21.08</v>
      </c>
      <c r="Q110" s="1">
        <v>45472</v>
      </c>
      <c r="R110" s="1">
        <v>45479</v>
      </c>
      <c r="S110" s="14">
        <f>Sales[[#This Row],[DeliveryDate]]-Sales[[#This Row],[OrderDate]]</f>
        <v>7</v>
      </c>
      <c r="T110" s="14" t="str">
        <f>IF(Sales[[#This Row],[Delivery Days]]&lt;=$W$2, "Timely", "Delayed")</f>
        <v>Delayed</v>
      </c>
      <c r="U110" t="s">
        <v>2922</v>
      </c>
    </row>
    <row r="111" spans="1:21" x14ac:dyDescent="0.25">
      <c r="A111" s="4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 s="6">
        <v>446.72599999999989</v>
      </c>
      <c r="K111" t="s">
        <v>45</v>
      </c>
      <c r="L111" t="s">
        <v>2941</v>
      </c>
      <c r="M111">
        <v>1</v>
      </c>
      <c r="N111" t="s">
        <v>160</v>
      </c>
      <c r="O111" t="s">
        <v>1660</v>
      </c>
      <c r="P111">
        <v>49.6</v>
      </c>
      <c r="Q111" s="1">
        <v>45374</v>
      </c>
      <c r="R111" s="1">
        <v>45384</v>
      </c>
      <c r="S111" s="14">
        <f>Sales[[#This Row],[DeliveryDate]]-Sales[[#This Row],[OrderDate]]</f>
        <v>10</v>
      </c>
      <c r="T111" s="14" t="str">
        <f>IF(Sales[[#This Row],[Delivery Days]]&lt;=$W$2, "Timely", "Delayed")</f>
        <v>Delayed</v>
      </c>
      <c r="U111" t="s">
        <v>2924</v>
      </c>
    </row>
    <row r="112" spans="1:21" x14ac:dyDescent="0.25">
      <c r="A112" s="4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 s="6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1">
        <v>45487</v>
      </c>
      <c r="R112" s="1">
        <v>45494</v>
      </c>
      <c r="S112" s="14">
        <f>Sales[[#This Row],[DeliveryDate]]-Sales[[#This Row],[OrderDate]]</f>
        <v>7</v>
      </c>
      <c r="T112" s="14" t="str">
        <f>IF(Sales[[#This Row],[Delivery Days]]&lt;=$W$2, "Timely", "Delayed")</f>
        <v>Delayed</v>
      </c>
      <c r="U112" t="s">
        <v>2923</v>
      </c>
    </row>
    <row r="113" spans="1:21" x14ac:dyDescent="0.25">
      <c r="A113" s="4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 s="6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1">
        <v>45366</v>
      </c>
      <c r="R113" s="1">
        <v>45376</v>
      </c>
      <c r="S113" s="14">
        <f>Sales[[#This Row],[DeliveryDate]]-Sales[[#This Row],[OrderDate]]</f>
        <v>10</v>
      </c>
      <c r="T113" s="14" t="str">
        <f>IF(Sales[[#This Row],[Delivery Days]]&lt;=$W$2, "Timely", "Delayed")</f>
        <v>Delayed</v>
      </c>
      <c r="U113" t="s">
        <v>2923</v>
      </c>
    </row>
    <row r="114" spans="1:21" x14ac:dyDescent="0.25">
      <c r="A114" s="4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 s="6">
        <v>531.95249999999987</v>
      </c>
      <c r="K114" t="s">
        <v>47</v>
      </c>
      <c r="L114" t="s">
        <v>2941</v>
      </c>
      <c r="M114">
        <v>1</v>
      </c>
      <c r="N114" t="s">
        <v>163</v>
      </c>
      <c r="O114" t="s">
        <v>1663</v>
      </c>
      <c r="P114">
        <v>43.69</v>
      </c>
      <c r="Q114" s="1">
        <v>45766</v>
      </c>
      <c r="R114" s="1">
        <v>45771</v>
      </c>
      <c r="S114" s="14">
        <f>Sales[[#This Row],[DeliveryDate]]-Sales[[#This Row],[OrderDate]]</f>
        <v>5</v>
      </c>
      <c r="T114" s="14" t="str">
        <f>IF(Sales[[#This Row],[Delivery Days]]&lt;=$W$2, "Timely", "Delayed")</f>
        <v>Timely</v>
      </c>
      <c r="U114" t="s">
        <v>2925</v>
      </c>
    </row>
    <row r="115" spans="1:21" x14ac:dyDescent="0.25">
      <c r="A115" s="4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 s="6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1">
        <v>45337</v>
      </c>
      <c r="R115" s="1">
        <v>45342</v>
      </c>
      <c r="S115" s="14">
        <f>Sales[[#This Row],[DeliveryDate]]-Sales[[#This Row],[OrderDate]]</f>
        <v>5</v>
      </c>
      <c r="T115" s="14" t="str">
        <f>IF(Sales[[#This Row],[Delivery Days]]&lt;=$W$2, "Timely", "Delayed")</f>
        <v>Timely</v>
      </c>
      <c r="U115" t="s">
        <v>2926</v>
      </c>
    </row>
    <row r="116" spans="1:21" x14ac:dyDescent="0.25">
      <c r="A116" s="4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 s="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1">
        <v>45316</v>
      </c>
      <c r="R116" s="1">
        <v>45326</v>
      </c>
      <c r="S116" s="14">
        <f>Sales[[#This Row],[DeliveryDate]]-Sales[[#This Row],[OrderDate]]</f>
        <v>10</v>
      </c>
      <c r="T116" s="14" t="str">
        <f>IF(Sales[[#This Row],[Delivery Days]]&lt;=$W$2, "Timely", "Delayed")</f>
        <v>Delayed</v>
      </c>
      <c r="U116" t="s">
        <v>2922</v>
      </c>
    </row>
    <row r="117" spans="1:21" x14ac:dyDescent="0.25">
      <c r="A117" s="4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 s="6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1">
        <v>45762</v>
      </c>
      <c r="R117" s="1">
        <v>45770</v>
      </c>
      <c r="S117" s="14">
        <f>Sales[[#This Row],[DeliveryDate]]-Sales[[#This Row],[OrderDate]]</f>
        <v>8</v>
      </c>
      <c r="T117" s="14" t="str">
        <f>IF(Sales[[#This Row],[Delivery Days]]&lt;=$W$2, "Timely", "Delayed")</f>
        <v>Delayed</v>
      </c>
      <c r="U117" t="s">
        <v>2925</v>
      </c>
    </row>
    <row r="118" spans="1:21" x14ac:dyDescent="0.25">
      <c r="A118" s="4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 s="6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1">
        <v>45762</v>
      </c>
      <c r="R118" s="1">
        <v>45767</v>
      </c>
      <c r="S118" s="14">
        <f>Sales[[#This Row],[DeliveryDate]]-Sales[[#This Row],[OrderDate]]</f>
        <v>5</v>
      </c>
      <c r="T118" s="14" t="str">
        <f>IF(Sales[[#This Row],[Delivery Days]]&lt;=$W$2, "Timely", "Delayed")</f>
        <v>Timely</v>
      </c>
      <c r="U118" t="s">
        <v>2925</v>
      </c>
    </row>
    <row r="119" spans="1:21" x14ac:dyDescent="0.25">
      <c r="A119" s="4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 s="6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1">
        <v>45515</v>
      </c>
      <c r="R119" s="1">
        <v>45517</v>
      </c>
      <c r="S119" s="14">
        <f>Sales[[#This Row],[DeliveryDate]]-Sales[[#This Row],[OrderDate]]</f>
        <v>2</v>
      </c>
      <c r="T119" s="14" t="str">
        <f>IF(Sales[[#This Row],[Delivery Days]]&lt;=$W$2, "Timely", "Delayed")</f>
        <v>Timely</v>
      </c>
      <c r="U119" t="s">
        <v>2926</v>
      </c>
    </row>
    <row r="120" spans="1:21" x14ac:dyDescent="0.25">
      <c r="A120" s="4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 s="6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1">
        <v>45261</v>
      </c>
      <c r="R120" s="1">
        <v>45268</v>
      </c>
      <c r="S120" s="14">
        <f>Sales[[#This Row],[DeliveryDate]]-Sales[[#This Row],[OrderDate]]</f>
        <v>7</v>
      </c>
      <c r="T120" s="14" t="str">
        <f>IF(Sales[[#This Row],[Delivery Days]]&lt;=$W$2, "Timely", "Delayed")</f>
        <v>Delayed</v>
      </c>
      <c r="U120" t="s">
        <v>2923</v>
      </c>
    </row>
    <row r="121" spans="1:21" x14ac:dyDescent="0.25">
      <c r="A121" s="4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 s="6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1">
        <v>45144</v>
      </c>
      <c r="R121" s="1">
        <v>45149</v>
      </c>
      <c r="S121" s="14">
        <f>Sales[[#This Row],[DeliveryDate]]-Sales[[#This Row],[OrderDate]]</f>
        <v>5</v>
      </c>
      <c r="T121" s="14" t="str">
        <f>IF(Sales[[#This Row],[Delivery Days]]&lt;=$W$2, "Timely", "Delayed")</f>
        <v>Timely</v>
      </c>
      <c r="U121" t="s">
        <v>2925</v>
      </c>
    </row>
    <row r="122" spans="1:21" x14ac:dyDescent="0.25">
      <c r="A122" s="4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 s="6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1">
        <v>45315</v>
      </c>
      <c r="R122" s="1">
        <v>45322</v>
      </c>
      <c r="S122" s="14">
        <f>Sales[[#This Row],[DeliveryDate]]-Sales[[#This Row],[OrderDate]]</f>
        <v>7</v>
      </c>
      <c r="T122" s="14" t="str">
        <f>IF(Sales[[#This Row],[Delivery Days]]&lt;=$W$2, "Timely", "Delayed")</f>
        <v>Delayed</v>
      </c>
      <c r="U122" t="s">
        <v>2925</v>
      </c>
    </row>
    <row r="123" spans="1:21" x14ac:dyDescent="0.25">
      <c r="A123" s="4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 s="6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1">
        <v>45358</v>
      </c>
      <c r="R123" s="1">
        <v>45364</v>
      </c>
      <c r="S123" s="14">
        <f>Sales[[#This Row],[DeliveryDate]]-Sales[[#This Row],[OrderDate]]</f>
        <v>6</v>
      </c>
      <c r="T123" s="14" t="str">
        <f>IF(Sales[[#This Row],[Delivery Days]]&lt;=$W$2, "Timely", "Delayed")</f>
        <v>Timely</v>
      </c>
      <c r="U123" t="s">
        <v>2925</v>
      </c>
    </row>
    <row r="124" spans="1:21" x14ac:dyDescent="0.25">
      <c r="A124" s="4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 s="6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1">
        <v>45313</v>
      </c>
      <c r="R124" s="1">
        <v>45319</v>
      </c>
      <c r="S124" s="14">
        <f>Sales[[#This Row],[DeliveryDate]]-Sales[[#This Row],[OrderDate]]</f>
        <v>6</v>
      </c>
      <c r="T124" s="14" t="str">
        <f>IF(Sales[[#This Row],[Delivery Days]]&lt;=$W$2, "Timely", "Delayed")</f>
        <v>Timely</v>
      </c>
      <c r="U124" t="s">
        <v>2923</v>
      </c>
    </row>
    <row r="125" spans="1:21" x14ac:dyDescent="0.25">
      <c r="A125" s="4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 s="6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1">
        <v>44980</v>
      </c>
      <c r="R125" s="1">
        <v>44984</v>
      </c>
      <c r="S125" s="14">
        <f>Sales[[#This Row],[DeliveryDate]]-Sales[[#This Row],[OrderDate]]</f>
        <v>4</v>
      </c>
      <c r="T125" s="14" t="str">
        <f>IF(Sales[[#This Row],[Delivery Days]]&lt;=$W$2, "Timely", "Delayed")</f>
        <v>Timely</v>
      </c>
      <c r="U125" t="s">
        <v>2922</v>
      </c>
    </row>
    <row r="126" spans="1:21" x14ac:dyDescent="0.25">
      <c r="A126" s="4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 s="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1">
        <v>45091</v>
      </c>
      <c r="R126" s="1">
        <v>45099</v>
      </c>
      <c r="S126" s="14">
        <f>Sales[[#This Row],[DeliveryDate]]-Sales[[#This Row],[OrderDate]]</f>
        <v>8</v>
      </c>
      <c r="T126" s="14" t="str">
        <f>IF(Sales[[#This Row],[Delivery Days]]&lt;=$W$2, "Timely", "Delayed")</f>
        <v>Delayed</v>
      </c>
      <c r="U126" t="s">
        <v>2924</v>
      </c>
    </row>
    <row r="127" spans="1:21" x14ac:dyDescent="0.25">
      <c r="A127" s="4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 s="6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1">
        <v>45790</v>
      </c>
      <c r="R127" s="1">
        <v>45792</v>
      </c>
      <c r="S127" s="14">
        <f>Sales[[#This Row],[DeliveryDate]]-Sales[[#This Row],[OrderDate]]</f>
        <v>2</v>
      </c>
      <c r="T127" s="14" t="str">
        <f>IF(Sales[[#This Row],[Delivery Days]]&lt;=$W$2, "Timely", "Delayed")</f>
        <v>Timely</v>
      </c>
      <c r="U127" t="s">
        <v>2924</v>
      </c>
    </row>
    <row r="128" spans="1:21" x14ac:dyDescent="0.25">
      <c r="A128" s="4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 s="6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1">
        <v>45503</v>
      </c>
      <c r="R128" s="1">
        <v>45510</v>
      </c>
      <c r="S128" s="14">
        <f>Sales[[#This Row],[DeliveryDate]]-Sales[[#This Row],[OrderDate]]</f>
        <v>7</v>
      </c>
      <c r="T128" s="14" t="str">
        <f>IF(Sales[[#This Row],[Delivery Days]]&lt;=$W$2, "Timely", "Delayed")</f>
        <v>Delayed</v>
      </c>
      <c r="U128" t="s">
        <v>2925</v>
      </c>
    </row>
    <row r="129" spans="1:21" x14ac:dyDescent="0.25">
      <c r="A129" s="4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 s="6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1">
        <v>45491</v>
      </c>
      <c r="R129" s="1">
        <v>45500</v>
      </c>
      <c r="S129" s="14">
        <f>Sales[[#This Row],[DeliveryDate]]-Sales[[#This Row],[OrderDate]]</f>
        <v>9</v>
      </c>
      <c r="T129" s="14" t="str">
        <f>IF(Sales[[#This Row],[Delivery Days]]&lt;=$W$2, "Timely", "Delayed")</f>
        <v>Delayed</v>
      </c>
      <c r="U129" t="s">
        <v>2922</v>
      </c>
    </row>
    <row r="130" spans="1:21" x14ac:dyDescent="0.25">
      <c r="A130" s="4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 s="6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1">
        <v>45530</v>
      </c>
      <c r="R130" s="1">
        <v>45536</v>
      </c>
      <c r="S130" s="14">
        <f>Sales[[#This Row],[DeliveryDate]]-Sales[[#This Row],[OrderDate]]</f>
        <v>6</v>
      </c>
      <c r="T130" s="14" t="str">
        <f>IF(Sales[[#This Row],[Delivery Days]]&lt;=$W$2, "Timely", "Delayed")</f>
        <v>Timely</v>
      </c>
      <c r="U130" t="s">
        <v>2922</v>
      </c>
    </row>
    <row r="131" spans="1:21" x14ac:dyDescent="0.25">
      <c r="A131" s="4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 s="6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1">
        <v>45816</v>
      </c>
      <c r="R131" s="1">
        <v>45823</v>
      </c>
      <c r="S131" s="14">
        <f>Sales[[#This Row],[DeliveryDate]]-Sales[[#This Row],[OrderDate]]</f>
        <v>7</v>
      </c>
      <c r="T131" s="14" t="str">
        <f>IF(Sales[[#This Row],[Delivery Days]]&lt;=$W$2, "Timely", "Delayed")</f>
        <v>Delayed</v>
      </c>
      <c r="U131" t="s">
        <v>2926</v>
      </c>
    </row>
    <row r="132" spans="1:21" x14ac:dyDescent="0.25">
      <c r="A132" s="4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 s="6">
        <v>5117.6400000000003</v>
      </c>
      <c r="K132" t="s">
        <v>46</v>
      </c>
      <c r="L132" t="s">
        <v>2941</v>
      </c>
      <c r="M132">
        <v>1</v>
      </c>
      <c r="N132" t="s">
        <v>181</v>
      </c>
      <c r="O132" t="s">
        <v>1681</v>
      </c>
      <c r="P132">
        <v>17.59</v>
      </c>
      <c r="Q132" s="1">
        <v>45793</v>
      </c>
      <c r="R132" s="1">
        <v>45800</v>
      </c>
      <c r="S132" s="14">
        <f>Sales[[#This Row],[DeliveryDate]]-Sales[[#This Row],[OrderDate]]</f>
        <v>7</v>
      </c>
      <c r="T132" s="14" t="str">
        <f>IF(Sales[[#This Row],[Delivery Days]]&lt;=$W$2, "Timely", "Delayed")</f>
        <v>Delayed</v>
      </c>
      <c r="U132" t="s">
        <v>2924</v>
      </c>
    </row>
    <row r="133" spans="1:21" x14ac:dyDescent="0.25">
      <c r="A133" s="4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 s="6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1">
        <v>45491</v>
      </c>
      <c r="R133" s="1">
        <v>45497</v>
      </c>
      <c r="S133" s="14">
        <f>Sales[[#This Row],[DeliveryDate]]-Sales[[#This Row],[OrderDate]]</f>
        <v>6</v>
      </c>
      <c r="T133" s="14" t="str">
        <f>IF(Sales[[#This Row],[Delivery Days]]&lt;=$W$2, "Timely", "Delayed")</f>
        <v>Timely</v>
      </c>
      <c r="U133" t="s">
        <v>2922</v>
      </c>
    </row>
    <row r="134" spans="1:21" x14ac:dyDescent="0.25">
      <c r="A134" s="4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 s="6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1">
        <v>45186</v>
      </c>
      <c r="R134" s="1">
        <v>45195</v>
      </c>
      <c r="S134" s="14">
        <f>Sales[[#This Row],[DeliveryDate]]-Sales[[#This Row],[OrderDate]]</f>
        <v>9</v>
      </c>
      <c r="T134" s="14" t="str">
        <f>IF(Sales[[#This Row],[Delivery Days]]&lt;=$W$2, "Timely", "Delayed")</f>
        <v>Delayed</v>
      </c>
      <c r="U134" t="s">
        <v>2926</v>
      </c>
    </row>
    <row r="135" spans="1:21" x14ac:dyDescent="0.25">
      <c r="A135" s="4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 s="6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1">
        <v>44998</v>
      </c>
      <c r="R135" s="1">
        <v>45004</v>
      </c>
      <c r="S135" s="14">
        <f>Sales[[#This Row],[DeliveryDate]]-Sales[[#This Row],[OrderDate]]</f>
        <v>6</v>
      </c>
      <c r="T135" s="14" t="str">
        <f>IF(Sales[[#This Row],[Delivery Days]]&lt;=$W$2, "Timely", "Delayed")</f>
        <v>Timely</v>
      </c>
      <c r="U135" t="s">
        <v>2922</v>
      </c>
    </row>
    <row r="136" spans="1:21" x14ac:dyDescent="0.25">
      <c r="A136" s="4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 s="6">
        <v>2148.1019999999999</v>
      </c>
      <c r="K136" t="s">
        <v>47</v>
      </c>
      <c r="L136" t="s">
        <v>2941</v>
      </c>
      <c r="M136">
        <v>0</v>
      </c>
      <c r="N136" t="s">
        <v>185</v>
      </c>
      <c r="O136" t="s">
        <v>1685</v>
      </c>
      <c r="P136">
        <v>27.04</v>
      </c>
      <c r="Q136" s="1">
        <v>45014</v>
      </c>
      <c r="R136" s="1">
        <v>45019</v>
      </c>
      <c r="S136" s="14">
        <f>Sales[[#This Row],[DeliveryDate]]-Sales[[#This Row],[OrderDate]]</f>
        <v>5</v>
      </c>
      <c r="T136" s="14" t="str">
        <f>IF(Sales[[#This Row],[Delivery Days]]&lt;=$W$2, "Timely", "Delayed")</f>
        <v>Timely</v>
      </c>
      <c r="U136" t="s">
        <v>2923</v>
      </c>
    </row>
    <row r="137" spans="1:21" x14ac:dyDescent="0.25">
      <c r="A137" s="4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 s="6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1">
        <v>45121</v>
      </c>
      <c r="R137" s="1">
        <v>45130</v>
      </c>
      <c r="S137" s="14">
        <f>Sales[[#This Row],[DeliveryDate]]-Sales[[#This Row],[OrderDate]]</f>
        <v>9</v>
      </c>
      <c r="T137" s="14" t="str">
        <f>IF(Sales[[#This Row],[Delivery Days]]&lt;=$W$2, "Timely", "Delayed")</f>
        <v>Delayed</v>
      </c>
      <c r="U137" t="s">
        <v>2925</v>
      </c>
    </row>
    <row r="138" spans="1:21" x14ac:dyDescent="0.25">
      <c r="A138" s="4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 s="6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1">
        <v>45373</v>
      </c>
      <c r="R138" s="1">
        <v>45382</v>
      </c>
      <c r="S138" s="14">
        <f>Sales[[#This Row],[DeliveryDate]]-Sales[[#This Row],[OrderDate]]</f>
        <v>9</v>
      </c>
      <c r="T138" s="14" t="str">
        <f>IF(Sales[[#This Row],[Delivery Days]]&lt;=$W$2, "Timely", "Delayed")</f>
        <v>Delayed</v>
      </c>
      <c r="U138" t="s">
        <v>2926</v>
      </c>
    </row>
    <row r="139" spans="1:21" x14ac:dyDescent="0.25">
      <c r="A139" s="4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 s="6">
        <v>2271.951</v>
      </c>
      <c r="K139" t="s">
        <v>47</v>
      </c>
      <c r="L139" t="s">
        <v>2941</v>
      </c>
      <c r="M139">
        <v>0</v>
      </c>
      <c r="N139" t="s">
        <v>188</v>
      </c>
      <c r="O139" t="s">
        <v>1688</v>
      </c>
      <c r="P139">
        <v>35.39</v>
      </c>
      <c r="Q139" s="1">
        <v>45426</v>
      </c>
      <c r="R139" s="1">
        <v>45429</v>
      </c>
      <c r="S139" s="14">
        <f>Sales[[#This Row],[DeliveryDate]]-Sales[[#This Row],[OrderDate]]</f>
        <v>3</v>
      </c>
      <c r="T139" s="14" t="str">
        <f>IF(Sales[[#This Row],[Delivery Days]]&lt;=$W$2, "Timely", "Delayed")</f>
        <v>Timely</v>
      </c>
      <c r="U139" t="s">
        <v>2925</v>
      </c>
    </row>
    <row r="140" spans="1:21" x14ac:dyDescent="0.25">
      <c r="A140" s="4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 s="6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1">
        <v>45076</v>
      </c>
      <c r="R140" s="1">
        <v>45079</v>
      </c>
      <c r="S140" s="14">
        <f>Sales[[#This Row],[DeliveryDate]]-Sales[[#This Row],[OrderDate]]</f>
        <v>3</v>
      </c>
      <c r="T140" s="14" t="str">
        <f>IF(Sales[[#This Row],[Delivery Days]]&lt;=$W$2, "Timely", "Delayed")</f>
        <v>Timely</v>
      </c>
      <c r="U140" t="s">
        <v>2925</v>
      </c>
    </row>
    <row r="141" spans="1:21" x14ac:dyDescent="0.25">
      <c r="A141" s="4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 s="6">
        <v>842.66899999999998</v>
      </c>
      <c r="K141" t="s">
        <v>47</v>
      </c>
      <c r="L141" t="s">
        <v>2941</v>
      </c>
      <c r="M141">
        <v>0</v>
      </c>
      <c r="N141" t="s">
        <v>190</v>
      </c>
      <c r="O141" t="s">
        <v>1690</v>
      </c>
      <c r="P141">
        <v>13.65</v>
      </c>
      <c r="Q141" s="1">
        <v>45004</v>
      </c>
      <c r="R141" s="1">
        <v>45007</v>
      </c>
      <c r="S141" s="14">
        <f>Sales[[#This Row],[DeliveryDate]]-Sales[[#This Row],[OrderDate]]</f>
        <v>3</v>
      </c>
      <c r="T141" s="14" t="str">
        <f>IF(Sales[[#This Row],[Delivery Days]]&lt;=$W$2, "Timely", "Delayed")</f>
        <v>Timely</v>
      </c>
      <c r="U141" t="s">
        <v>2924</v>
      </c>
    </row>
    <row r="142" spans="1:21" x14ac:dyDescent="0.25">
      <c r="A142" s="4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 s="6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1">
        <v>45147</v>
      </c>
      <c r="R142" s="1">
        <v>45152</v>
      </c>
      <c r="S142" s="14">
        <f>Sales[[#This Row],[DeliveryDate]]-Sales[[#This Row],[OrderDate]]</f>
        <v>5</v>
      </c>
      <c r="T142" s="14" t="str">
        <f>IF(Sales[[#This Row],[Delivery Days]]&lt;=$W$2, "Timely", "Delayed")</f>
        <v>Timely</v>
      </c>
      <c r="U142" t="s">
        <v>2925</v>
      </c>
    </row>
    <row r="143" spans="1:21" x14ac:dyDescent="0.25">
      <c r="A143" s="4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 s="6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1">
        <v>45578</v>
      </c>
      <c r="R143" s="1">
        <v>45585</v>
      </c>
      <c r="S143" s="14">
        <f>Sales[[#This Row],[DeliveryDate]]-Sales[[#This Row],[OrderDate]]</f>
        <v>7</v>
      </c>
      <c r="T143" s="14" t="str">
        <f>IF(Sales[[#This Row],[Delivery Days]]&lt;=$W$2, "Timely", "Delayed")</f>
        <v>Delayed</v>
      </c>
      <c r="U143" t="s">
        <v>2924</v>
      </c>
    </row>
    <row r="144" spans="1:21" x14ac:dyDescent="0.25">
      <c r="A144" s="4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 s="6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1">
        <v>45705</v>
      </c>
      <c r="R144" s="1">
        <v>45713</v>
      </c>
      <c r="S144" s="14">
        <f>Sales[[#This Row],[DeliveryDate]]-Sales[[#This Row],[OrderDate]]</f>
        <v>8</v>
      </c>
      <c r="T144" s="14" t="str">
        <f>IF(Sales[[#This Row],[Delivery Days]]&lt;=$W$2, "Timely", "Delayed")</f>
        <v>Delayed</v>
      </c>
      <c r="U144" t="s">
        <v>2922</v>
      </c>
    </row>
    <row r="145" spans="1:21" x14ac:dyDescent="0.25">
      <c r="A145" s="4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 s="6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1">
        <v>45819</v>
      </c>
      <c r="R145" s="1">
        <v>45828</v>
      </c>
      <c r="S145" s="14">
        <f>Sales[[#This Row],[DeliveryDate]]-Sales[[#This Row],[OrderDate]]</f>
        <v>9</v>
      </c>
      <c r="T145" s="14" t="str">
        <f>IF(Sales[[#This Row],[Delivery Days]]&lt;=$W$2, "Timely", "Delayed")</f>
        <v>Delayed</v>
      </c>
      <c r="U145" t="s">
        <v>2924</v>
      </c>
    </row>
    <row r="146" spans="1:21" x14ac:dyDescent="0.25">
      <c r="A146" s="4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 s="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1">
        <v>45411</v>
      </c>
      <c r="R146" s="1">
        <v>45413</v>
      </c>
      <c r="S146" s="14">
        <f>Sales[[#This Row],[DeliveryDate]]-Sales[[#This Row],[OrderDate]]</f>
        <v>2</v>
      </c>
      <c r="T146" s="14" t="str">
        <f>IF(Sales[[#This Row],[Delivery Days]]&lt;=$W$2, "Timely", "Delayed")</f>
        <v>Timely</v>
      </c>
      <c r="U146" t="s">
        <v>2925</v>
      </c>
    </row>
    <row r="147" spans="1:21" x14ac:dyDescent="0.25">
      <c r="A147" s="4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 s="6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1">
        <v>45003</v>
      </c>
      <c r="R147" s="1">
        <v>45005</v>
      </c>
      <c r="S147" s="14">
        <f>Sales[[#This Row],[DeliveryDate]]-Sales[[#This Row],[OrderDate]]</f>
        <v>2</v>
      </c>
      <c r="T147" s="14" t="str">
        <f>IF(Sales[[#This Row],[Delivery Days]]&lt;=$W$2, "Timely", "Delayed")</f>
        <v>Timely</v>
      </c>
      <c r="U147" t="s">
        <v>2926</v>
      </c>
    </row>
    <row r="148" spans="1:21" x14ac:dyDescent="0.25">
      <c r="A148" s="4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 s="6">
        <v>3081.24</v>
      </c>
      <c r="K148" t="s">
        <v>45</v>
      </c>
      <c r="L148" t="s">
        <v>2941</v>
      </c>
      <c r="M148">
        <v>0</v>
      </c>
      <c r="N148" t="s">
        <v>197</v>
      </c>
      <c r="O148" t="s">
        <v>1697</v>
      </c>
      <c r="P148">
        <v>31</v>
      </c>
      <c r="Q148" s="1">
        <v>45647</v>
      </c>
      <c r="R148" s="1">
        <v>45653</v>
      </c>
      <c r="S148" s="14">
        <f>Sales[[#This Row],[DeliveryDate]]-Sales[[#This Row],[OrderDate]]</f>
        <v>6</v>
      </c>
      <c r="T148" s="14" t="str">
        <f>IF(Sales[[#This Row],[Delivery Days]]&lt;=$W$2, "Timely", "Delayed")</f>
        <v>Timely</v>
      </c>
      <c r="U148" t="s">
        <v>2924</v>
      </c>
    </row>
    <row r="149" spans="1:21" x14ac:dyDescent="0.25">
      <c r="A149" s="4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 s="6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1">
        <v>45039</v>
      </c>
      <c r="R149" s="1">
        <v>45048</v>
      </c>
      <c r="S149" s="14">
        <f>Sales[[#This Row],[DeliveryDate]]-Sales[[#This Row],[OrderDate]]</f>
        <v>9</v>
      </c>
      <c r="T149" s="14" t="str">
        <f>IF(Sales[[#This Row],[Delivery Days]]&lt;=$W$2, "Timely", "Delayed")</f>
        <v>Delayed</v>
      </c>
      <c r="U149" t="s">
        <v>2926</v>
      </c>
    </row>
    <row r="150" spans="1:21" x14ac:dyDescent="0.25">
      <c r="A150" s="4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 s="6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1">
        <v>45788</v>
      </c>
      <c r="R150" s="1">
        <v>45798</v>
      </c>
      <c r="S150" s="14">
        <f>Sales[[#This Row],[DeliveryDate]]-Sales[[#This Row],[OrderDate]]</f>
        <v>10</v>
      </c>
      <c r="T150" s="14" t="str">
        <f>IF(Sales[[#This Row],[Delivery Days]]&lt;=$W$2, "Timely", "Delayed")</f>
        <v>Delayed</v>
      </c>
      <c r="U150" t="s">
        <v>2925</v>
      </c>
    </row>
    <row r="151" spans="1:21" x14ac:dyDescent="0.25">
      <c r="A151" s="4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 s="6">
        <v>3445.2</v>
      </c>
      <c r="K151" t="s">
        <v>47</v>
      </c>
      <c r="L151" t="s">
        <v>2941</v>
      </c>
      <c r="M151">
        <v>0</v>
      </c>
      <c r="N151" t="s">
        <v>200</v>
      </c>
      <c r="O151" t="s">
        <v>1700</v>
      </c>
      <c r="P151">
        <v>47.94</v>
      </c>
      <c r="Q151" s="1">
        <v>45354</v>
      </c>
      <c r="R151" s="1">
        <v>45356</v>
      </c>
      <c r="S151" s="14">
        <f>Sales[[#This Row],[DeliveryDate]]-Sales[[#This Row],[OrderDate]]</f>
        <v>2</v>
      </c>
      <c r="T151" s="14" t="str">
        <f>IF(Sales[[#This Row],[Delivery Days]]&lt;=$W$2, "Timely", "Delayed")</f>
        <v>Timely</v>
      </c>
      <c r="U151" t="s">
        <v>2923</v>
      </c>
    </row>
    <row r="152" spans="1:21" x14ac:dyDescent="0.25">
      <c r="A152" s="4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 s="6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1">
        <v>45677</v>
      </c>
      <c r="R152" s="1">
        <v>45687</v>
      </c>
      <c r="S152" s="14">
        <f>Sales[[#This Row],[DeliveryDate]]-Sales[[#This Row],[OrderDate]]</f>
        <v>10</v>
      </c>
      <c r="T152" s="14" t="str">
        <f>IF(Sales[[#This Row],[Delivery Days]]&lt;=$W$2, "Timely", "Delayed")</f>
        <v>Delayed</v>
      </c>
      <c r="U152" t="s">
        <v>2924</v>
      </c>
    </row>
    <row r="153" spans="1:21" x14ac:dyDescent="0.25">
      <c r="A153" s="4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 s="6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1">
        <v>45738</v>
      </c>
      <c r="R153" s="1">
        <v>45746</v>
      </c>
      <c r="S153" s="14">
        <f>Sales[[#This Row],[DeliveryDate]]-Sales[[#This Row],[OrderDate]]</f>
        <v>8</v>
      </c>
      <c r="T153" s="14" t="str">
        <f>IF(Sales[[#This Row],[Delivery Days]]&lt;=$W$2, "Timely", "Delayed")</f>
        <v>Delayed</v>
      </c>
      <c r="U153" t="s">
        <v>2924</v>
      </c>
    </row>
    <row r="154" spans="1:21" x14ac:dyDescent="0.25">
      <c r="A154" s="4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 s="6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1">
        <v>45744</v>
      </c>
      <c r="R154" s="1">
        <v>45746</v>
      </c>
      <c r="S154" s="14">
        <f>Sales[[#This Row],[DeliveryDate]]-Sales[[#This Row],[OrderDate]]</f>
        <v>2</v>
      </c>
      <c r="T154" s="14" t="str">
        <f>IF(Sales[[#This Row],[Delivery Days]]&lt;=$W$2, "Timely", "Delayed")</f>
        <v>Timely</v>
      </c>
      <c r="U154" t="s">
        <v>2923</v>
      </c>
    </row>
    <row r="155" spans="1:21" x14ac:dyDescent="0.25">
      <c r="A155" s="4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 s="6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1">
        <v>45705</v>
      </c>
      <c r="R155" s="1">
        <v>45709</v>
      </c>
      <c r="S155" s="14">
        <f>Sales[[#This Row],[DeliveryDate]]-Sales[[#This Row],[OrderDate]]</f>
        <v>4</v>
      </c>
      <c r="T155" s="14" t="str">
        <f>IF(Sales[[#This Row],[Delivery Days]]&lt;=$W$2, "Timely", "Delayed")</f>
        <v>Timely</v>
      </c>
      <c r="U155" t="s">
        <v>2924</v>
      </c>
    </row>
    <row r="156" spans="1:21" x14ac:dyDescent="0.25">
      <c r="A156" s="4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 s="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1">
        <v>45604</v>
      </c>
      <c r="R156" s="1">
        <v>45607</v>
      </c>
      <c r="S156" s="14">
        <f>Sales[[#This Row],[DeliveryDate]]-Sales[[#This Row],[OrderDate]]</f>
        <v>3</v>
      </c>
      <c r="T156" s="14" t="str">
        <f>IF(Sales[[#This Row],[Delivery Days]]&lt;=$W$2, "Timely", "Delayed")</f>
        <v>Timely</v>
      </c>
      <c r="U156" t="s">
        <v>2923</v>
      </c>
    </row>
    <row r="157" spans="1:21" x14ac:dyDescent="0.25">
      <c r="A157" s="4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 s="6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1">
        <v>45368</v>
      </c>
      <c r="R157" s="1">
        <v>45372</v>
      </c>
      <c r="S157" s="14">
        <f>Sales[[#This Row],[DeliveryDate]]-Sales[[#This Row],[OrderDate]]</f>
        <v>4</v>
      </c>
      <c r="T157" s="14" t="str">
        <f>IF(Sales[[#This Row],[Delivery Days]]&lt;=$W$2, "Timely", "Delayed")</f>
        <v>Timely</v>
      </c>
      <c r="U157" t="s">
        <v>2923</v>
      </c>
    </row>
    <row r="158" spans="1:21" x14ac:dyDescent="0.25">
      <c r="A158" s="4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 s="6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1">
        <v>45167</v>
      </c>
      <c r="R158" s="1">
        <v>45170</v>
      </c>
      <c r="S158" s="14">
        <f>Sales[[#This Row],[DeliveryDate]]-Sales[[#This Row],[OrderDate]]</f>
        <v>3</v>
      </c>
      <c r="T158" s="14" t="str">
        <f>IF(Sales[[#This Row],[Delivery Days]]&lt;=$W$2, "Timely", "Delayed")</f>
        <v>Timely</v>
      </c>
      <c r="U158" t="s">
        <v>2923</v>
      </c>
    </row>
    <row r="159" spans="1:21" x14ac:dyDescent="0.25">
      <c r="A159" s="4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 s="6">
        <v>4075.26</v>
      </c>
      <c r="K159" t="s">
        <v>47</v>
      </c>
      <c r="L159" t="s">
        <v>2941</v>
      </c>
      <c r="M159">
        <v>0</v>
      </c>
      <c r="N159" t="s">
        <v>208</v>
      </c>
      <c r="O159" t="s">
        <v>1707</v>
      </c>
      <c r="P159">
        <v>39.979999999999997</v>
      </c>
      <c r="Q159" s="1">
        <v>45099</v>
      </c>
      <c r="R159" s="1">
        <v>45107</v>
      </c>
      <c r="S159" s="14">
        <f>Sales[[#This Row],[DeliveryDate]]-Sales[[#This Row],[OrderDate]]</f>
        <v>8</v>
      </c>
      <c r="T159" s="14" t="str">
        <f>IF(Sales[[#This Row],[Delivery Days]]&lt;=$W$2, "Timely", "Delayed")</f>
        <v>Delayed</v>
      </c>
      <c r="U159" t="s">
        <v>2923</v>
      </c>
    </row>
    <row r="160" spans="1:21" x14ac:dyDescent="0.25">
      <c r="A160" s="4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 s="6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1">
        <v>45346</v>
      </c>
      <c r="R160" s="1">
        <v>45352</v>
      </c>
      <c r="S160" s="14">
        <f>Sales[[#This Row],[DeliveryDate]]-Sales[[#This Row],[OrderDate]]</f>
        <v>6</v>
      </c>
      <c r="T160" s="14" t="str">
        <f>IF(Sales[[#This Row],[Delivery Days]]&lt;=$W$2, "Timely", "Delayed")</f>
        <v>Timely</v>
      </c>
      <c r="U160" t="s">
        <v>2923</v>
      </c>
    </row>
    <row r="161" spans="1:21" x14ac:dyDescent="0.25">
      <c r="A161" s="4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 s="6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1">
        <v>45392</v>
      </c>
      <c r="R161" s="1">
        <v>45397</v>
      </c>
      <c r="S161" s="14">
        <f>Sales[[#This Row],[DeliveryDate]]-Sales[[#This Row],[OrderDate]]</f>
        <v>5</v>
      </c>
      <c r="T161" s="14" t="str">
        <f>IF(Sales[[#This Row],[Delivery Days]]&lt;=$W$2, "Timely", "Delayed")</f>
        <v>Timely</v>
      </c>
      <c r="U161" t="s">
        <v>2924</v>
      </c>
    </row>
    <row r="162" spans="1:21" x14ac:dyDescent="0.25">
      <c r="A162" s="4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 s="6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1">
        <v>45060</v>
      </c>
      <c r="R162" s="1">
        <v>45065</v>
      </c>
      <c r="S162" s="14">
        <f>Sales[[#This Row],[DeliveryDate]]-Sales[[#This Row],[OrderDate]]</f>
        <v>5</v>
      </c>
      <c r="T162" s="14" t="str">
        <f>IF(Sales[[#This Row],[Delivery Days]]&lt;=$W$2, "Timely", "Delayed")</f>
        <v>Timely</v>
      </c>
      <c r="U162" t="s">
        <v>2923</v>
      </c>
    </row>
    <row r="163" spans="1:21" x14ac:dyDescent="0.25">
      <c r="A163" s="4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 s="6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1">
        <v>44996</v>
      </c>
      <c r="R163" s="1">
        <v>45003</v>
      </c>
      <c r="S163" s="14">
        <f>Sales[[#This Row],[DeliveryDate]]-Sales[[#This Row],[OrderDate]]</f>
        <v>7</v>
      </c>
      <c r="T163" s="14" t="str">
        <f>IF(Sales[[#This Row],[Delivery Days]]&lt;=$W$2, "Timely", "Delayed")</f>
        <v>Delayed</v>
      </c>
      <c r="U163" t="s">
        <v>2923</v>
      </c>
    </row>
    <row r="164" spans="1:21" x14ac:dyDescent="0.25">
      <c r="A164" s="4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 s="6">
        <v>79.599999999999994</v>
      </c>
      <c r="K164" t="s">
        <v>45</v>
      </c>
      <c r="L164" t="s">
        <v>2941</v>
      </c>
      <c r="M164">
        <v>1</v>
      </c>
      <c r="N164" t="s">
        <v>213</v>
      </c>
      <c r="O164" t="s">
        <v>1712</v>
      </c>
      <c r="P164">
        <v>8.66</v>
      </c>
      <c r="Q164" s="1">
        <v>45528</v>
      </c>
      <c r="R164" s="1">
        <v>45530</v>
      </c>
      <c r="S164" s="14">
        <f>Sales[[#This Row],[DeliveryDate]]-Sales[[#This Row],[OrderDate]]</f>
        <v>2</v>
      </c>
      <c r="T164" s="14" t="str">
        <f>IF(Sales[[#This Row],[Delivery Days]]&lt;=$W$2, "Timely", "Delayed")</f>
        <v>Timely</v>
      </c>
      <c r="U164" t="s">
        <v>2925</v>
      </c>
    </row>
    <row r="165" spans="1:21" x14ac:dyDescent="0.25">
      <c r="A165" s="4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 s="6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1">
        <v>45345</v>
      </c>
      <c r="R165" s="1">
        <v>45352</v>
      </c>
      <c r="S165" s="14">
        <f>Sales[[#This Row],[DeliveryDate]]-Sales[[#This Row],[OrderDate]]</f>
        <v>7</v>
      </c>
      <c r="T165" s="14" t="str">
        <f>IF(Sales[[#This Row],[Delivery Days]]&lt;=$W$2, "Timely", "Delayed")</f>
        <v>Delayed</v>
      </c>
      <c r="U165" t="s">
        <v>2923</v>
      </c>
    </row>
    <row r="166" spans="1:21" x14ac:dyDescent="0.25">
      <c r="A166" s="4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 s="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1">
        <v>45321</v>
      </c>
      <c r="R166" s="1">
        <v>45328</v>
      </c>
      <c r="S166" s="14">
        <f>Sales[[#This Row],[DeliveryDate]]-Sales[[#This Row],[OrderDate]]</f>
        <v>7</v>
      </c>
      <c r="T166" s="14" t="str">
        <f>IF(Sales[[#This Row],[Delivery Days]]&lt;=$W$2, "Timely", "Delayed")</f>
        <v>Delayed</v>
      </c>
      <c r="U166" t="s">
        <v>2924</v>
      </c>
    </row>
    <row r="167" spans="1:21" x14ac:dyDescent="0.25">
      <c r="A167" s="4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 s="6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1">
        <v>45314</v>
      </c>
      <c r="R167" s="1">
        <v>45320</v>
      </c>
      <c r="S167" s="14">
        <f>Sales[[#This Row],[DeliveryDate]]-Sales[[#This Row],[OrderDate]]</f>
        <v>6</v>
      </c>
      <c r="T167" s="14" t="str">
        <f>IF(Sales[[#This Row],[Delivery Days]]&lt;=$W$2, "Timely", "Delayed")</f>
        <v>Timely</v>
      </c>
      <c r="U167" t="s">
        <v>2922</v>
      </c>
    </row>
    <row r="168" spans="1:21" x14ac:dyDescent="0.25">
      <c r="A168" s="4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 s="6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1">
        <v>44931</v>
      </c>
      <c r="R168" s="1">
        <v>44934</v>
      </c>
      <c r="S168" s="14">
        <f>Sales[[#This Row],[DeliveryDate]]-Sales[[#This Row],[OrderDate]]</f>
        <v>3</v>
      </c>
      <c r="T168" s="14" t="str">
        <f>IF(Sales[[#This Row],[Delivery Days]]&lt;=$W$2, "Timely", "Delayed")</f>
        <v>Timely</v>
      </c>
      <c r="U168" t="s">
        <v>2924</v>
      </c>
    </row>
    <row r="169" spans="1:21" x14ac:dyDescent="0.25">
      <c r="A169" s="4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 s="6">
        <v>1893.2550000000001</v>
      </c>
      <c r="K169" t="s">
        <v>44</v>
      </c>
      <c r="L169" t="s">
        <v>2941</v>
      </c>
      <c r="M169">
        <v>0</v>
      </c>
      <c r="N169" t="s">
        <v>218</v>
      </c>
      <c r="O169" t="s">
        <v>1717</v>
      </c>
      <c r="P169">
        <v>5.36</v>
      </c>
      <c r="Q169" s="1">
        <v>45281</v>
      </c>
      <c r="R169" s="1">
        <v>45290</v>
      </c>
      <c r="S169" s="14">
        <f>Sales[[#This Row],[DeliveryDate]]-Sales[[#This Row],[OrderDate]]</f>
        <v>9</v>
      </c>
      <c r="T169" s="14" t="str">
        <f>IF(Sales[[#This Row],[Delivery Days]]&lt;=$W$2, "Timely", "Delayed")</f>
        <v>Delayed</v>
      </c>
      <c r="U169" t="s">
        <v>2924</v>
      </c>
    </row>
    <row r="170" spans="1:21" x14ac:dyDescent="0.25">
      <c r="A170" s="4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 s="6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1">
        <v>45071</v>
      </c>
      <c r="R170" s="1">
        <v>45079</v>
      </c>
      <c r="S170" s="14">
        <f>Sales[[#This Row],[DeliveryDate]]-Sales[[#This Row],[OrderDate]]</f>
        <v>8</v>
      </c>
      <c r="T170" s="14" t="str">
        <f>IF(Sales[[#This Row],[Delivery Days]]&lt;=$W$2, "Timely", "Delayed")</f>
        <v>Delayed</v>
      </c>
      <c r="U170" t="s">
        <v>2926</v>
      </c>
    </row>
    <row r="171" spans="1:21" x14ac:dyDescent="0.25">
      <c r="A171" s="4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 s="6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1">
        <v>45838</v>
      </c>
      <c r="R171" s="1">
        <v>45846</v>
      </c>
      <c r="S171" s="14">
        <f>Sales[[#This Row],[DeliveryDate]]-Sales[[#This Row],[OrderDate]]</f>
        <v>8</v>
      </c>
      <c r="T171" s="14" t="str">
        <f>IF(Sales[[#This Row],[Delivery Days]]&lt;=$W$2, "Timely", "Delayed")</f>
        <v>Delayed</v>
      </c>
      <c r="U171" t="s">
        <v>2925</v>
      </c>
    </row>
    <row r="172" spans="1:21" x14ac:dyDescent="0.25">
      <c r="A172" s="4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 s="6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1">
        <v>45700</v>
      </c>
      <c r="R172" s="1">
        <v>45707</v>
      </c>
      <c r="S172" s="14">
        <f>Sales[[#This Row],[DeliveryDate]]-Sales[[#This Row],[OrderDate]]</f>
        <v>7</v>
      </c>
      <c r="T172" s="14" t="str">
        <f>IF(Sales[[#This Row],[Delivery Days]]&lt;=$W$2, "Timely", "Delayed")</f>
        <v>Delayed</v>
      </c>
      <c r="U172" t="s">
        <v>2926</v>
      </c>
    </row>
    <row r="173" spans="1:21" x14ac:dyDescent="0.25">
      <c r="A173" s="4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 s="6">
        <v>1774.548</v>
      </c>
      <c r="K173" t="s">
        <v>47</v>
      </c>
      <c r="L173" t="s">
        <v>2941</v>
      </c>
      <c r="M173">
        <v>1</v>
      </c>
      <c r="N173" t="s">
        <v>222</v>
      </c>
      <c r="O173" t="s">
        <v>1721</v>
      </c>
      <c r="P173">
        <v>38.9</v>
      </c>
      <c r="Q173" s="1">
        <v>45294</v>
      </c>
      <c r="R173" s="1">
        <v>45298</v>
      </c>
      <c r="S173" s="14">
        <f>Sales[[#This Row],[DeliveryDate]]-Sales[[#This Row],[OrderDate]]</f>
        <v>4</v>
      </c>
      <c r="T173" s="14" t="str">
        <f>IF(Sales[[#This Row],[Delivery Days]]&lt;=$W$2, "Timely", "Delayed")</f>
        <v>Timely</v>
      </c>
      <c r="U173" t="s">
        <v>2926</v>
      </c>
    </row>
    <row r="174" spans="1:21" x14ac:dyDescent="0.25">
      <c r="A174" s="4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 s="6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1">
        <v>44960</v>
      </c>
      <c r="R174" s="1">
        <v>44970</v>
      </c>
      <c r="S174" s="14">
        <f>Sales[[#This Row],[DeliveryDate]]-Sales[[#This Row],[OrderDate]]</f>
        <v>10</v>
      </c>
      <c r="T174" s="14" t="str">
        <f>IF(Sales[[#This Row],[Delivery Days]]&lt;=$W$2, "Timely", "Delayed")</f>
        <v>Delayed</v>
      </c>
      <c r="U174" t="s">
        <v>2923</v>
      </c>
    </row>
    <row r="175" spans="1:21" x14ac:dyDescent="0.25">
      <c r="A175" s="4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 s="6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1">
        <v>45352</v>
      </c>
      <c r="R175" s="1">
        <v>45359</v>
      </c>
      <c r="S175" s="14">
        <f>Sales[[#This Row],[DeliveryDate]]-Sales[[#This Row],[OrderDate]]</f>
        <v>7</v>
      </c>
      <c r="T175" s="14" t="str">
        <f>IF(Sales[[#This Row],[Delivery Days]]&lt;=$W$2, "Timely", "Delayed")</f>
        <v>Delayed</v>
      </c>
      <c r="U175" t="s">
        <v>2922</v>
      </c>
    </row>
    <row r="176" spans="1:21" x14ac:dyDescent="0.25">
      <c r="A176" s="4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 s="6">
        <v>2759.483999999999</v>
      </c>
      <c r="K176" t="s">
        <v>43</v>
      </c>
      <c r="L176" t="s">
        <v>2941</v>
      </c>
      <c r="M176">
        <v>0</v>
      </c>
      <c r="N176" t="s">
        <v>225</v>
      </c>
      <c r="O176" t="s">
        <v>1724</v>
      </c>
      <c r="P176">
        <v>5.7</v>
      </c>
      <c r="Q176" s="1">
        <v>45070</v>
      </c>
      <c r="R176" s="1">
        <v>45079</v>
      </c>
      <c r="S176" s="14">
        <f>Sales[[#This Row],[DeliveryDate]]-Sales[[#This Row],[OrderDate]]</f>
        <v>9</v>
      </c>
      <c r="T176" s="14" t="str">
        <f>IF(Sales[[#This Row],[Delivery Days]]&lt;=$W$2, "Timely", "Delayed")</f>
        <v>Delayed</v>
      </c>
      <c r="U176" t="s">
        <v>2924</v>
      </c>
    </row>
    <row r="177" spans="1:21" x14ac:dyDescent="0.25">
      <c r="A177" s="4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 s="6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1">
        <v>45830</v>
      </c>
      <c r="R177" s="1">
        <v>45836</v>
      </c>
      <c r="S177" s="14">
        <f>Sales[[#This Row],[DeliveryDate]]-Sales[[#This Row],[OrderDate]]</f>
        <v>6</v>
      </c>
      <c r="T177" s="14" t="str">
        <f>IF(Sales[[#This Row],[Delivery Days]]&lt;=$W$2, "Timely", "Delayed")</f>
        <v>Timely</v>
      </c>
      <c r="U177" t="s">
        <v>2924</v>
      </c>
    </row>
    <row r="178" spans="1:21" x14ac:dyDescent="0.25">
      <c r="A178" s="4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 s="6">
        <v>744.14449999999988</v>
      </c>
      <c r="K178" t="s">
        <v>43</v>
      </c>
      <c r="L178" t="s">
        <v>2941</v>
      </c>
      <c r="M178">
        <v>1</v>
      </c>
      <c r="N178" t="s">
        <v>227</v>
      </c>
      <c r="O178" t="s">
        <v>1726</v>
      </c>
      <c r="P178">
        <v>44.2</v>
      </c>
      <c r="Q178" s="1">
        <v>45026</v>
      </c>
      <c r="R178" s="1">
        <v>45030</v>
      </c>
      <c r="S178" s="14">
        <f>Sales[[#This Row],[DeliveryDate]]-Sales[[#This Row],[OrderDate]]</f>
        <v>4</v>
      </c>
      <c r="T178" s="14" t="str">
        <f>IF(Sales[[#This Row],[Delivery Days]]&lt;=$W$2, "Timely", "Delayed")</f>
        <v>Timely</v>
      </c>
      <c r="U178" t="s">
        <v>2924</v>
      </c>
    </row>
    <row r="179" spans="1:21" x14ac:dyDescent="0.25">
      <c r="A179" s="4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 s="6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1">
        <v>45720</v>
      </c>
      <c r="R179" s="1">
        <v>45726</v>
      </c>
      <c r="S179" s="14">
        <f>Sales[[#This Row],[DeliveryDate]]-Sales[[#This Row],[OrderDate]]</f>
        <v>6</v>
      </c>
      <c r="T179" s="14" t="str">
        <f>IF(Sales[[#This Row],[Delivery Days]]&lt;=$W$2, "Timely", "Delayed")</f>
        <v>Timely</v>
      </c>
      <c r="U179" t="s">
        <v>2925</v>
      </c>
    </row>
    <row r="180" spans="1:21" x14ac:dyDescent="0.25">
      <c r="A180" s="4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 s="6">
        <v>2997.1619999999998</v>
      </c>
      <c r="K180" t="s">
        <v>45</v>
      </c>
      <c r="L180" t="s">
        <v>2941</v>
      </c>
      <c r="M180">
        <v>1</v>
      </c>
      <c r="N180" t="s">
        <v>229</v>
      </c>
      <c r="O180" t="s">
        <v>1728</v>
      </c>
      <c r="P180">
        <v>23.69</v>
      </c>
      <c r="Q180" s="1">
        <v>45484</v>
      </c>
      <c r="R180" s="1">
        <v>45493</v>
      </c>
      <c r="S180" s="14">
        <f>Sales[[#This Row],[DeliveryDate]]-Sales[[#This Row],[OrderDate]]</f>
        <v>9</v>
      </c>
      <c r="T180" s="14" t="str">
        <f>IF(Sales[[#This Row],[Delivery Days]]&lt;=$W$2, "Timely", "Delayed")</f>
        <v>Delayed</v>
      </c>
      <c r="U180" t="s">
        <v>2922</v>
      </c>
    </row>
    <row r="181" spans="1:21" x14ac:dyDescent="0.25">
      <c r="A181" s="4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 s="6">
        <v>5474.04</v>
      </c>
      <c r="K181" t="s">
        <v>47</v>
      </c>
      <c r="L181" t="s">
        <v>2941</v>
      </c>
      <c r="M181">
        <v>0</v>
      </c>
      <c r="N181" t="s">
        <v>230</v>
      </c>
      <c r="O181" t="s">
        <v>1729</v>
      </c>
      <c r="P181">
        <v>24.51</v>
      </c>
      <c r="Q181" s="1">
        <v>45521</v>
      </c>
      <c r="R181" s="1">
        <v>45524</v>
      </c>
      <c r="S181" s="14">
        <f>Sales[[#This Row],[DeliveryDate]]-Sales[[#This Row],[OrderDate]]</f>
        <v>3</v>
      </c>
      <c r="T181" s="14" t="str">
        <f>IF(Sales[[#This Row],[Delivery Days]]&lt;=$W$2, "Timely", "Delayed")</f>
        <v>Timely</v>
      </c>
      <c r="U181" t="s">
        <v>2922</v>
      </c>
    </row>
    <row r="182" spans="1:21" x14ac:dyDescent="0.25">
      <c r="A182" s="4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 s="6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1">
        <v>45838</v>
      </c>
      <c r="R182" s="1">
        <v>45847</v>
      </c>
      <c r="S182" s="14">
        <f>Sales[[#This Row],[DeliveryDate]]-Sales[[#This Row],[OrderDate]]</f>
        <v>9</v>
      </c>
      <c r="T182" s="14" t="str">
        <f>IF(Sales[[#This Row],[Delivery Days]]&lt;=$W$2, "Timely", "Delayed")</f>
        <v>Delayed</v>
      </c>
      <c r="U182" t="s">
        <v>2924</v>
      </c>
    </row>
    <row r="183" spans="1:21" x14ac:dyDescent="0.25">
      <c r="A183" s="4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 s="6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1">
        <v>45602</v>
      </c>
      <c r="R183" s="1">
        <v>45609</v>
      </c>
      <c r="S183" s="14">
        <f>Sales[[#This Row],[DeliveryDate]]-Sales[[#This Row],[OrderDate]]</f>
        <v>7</v>
      </c>
      <c r="T183" s="14" t="str">
        <f>IF(Sales[[#This Row],[Delivery Days]]&lt;=$W$2, "Timely", "Delayed")</f>
        <v>Delayed</v>
      </c>
      <c r="U183" t="s">
        <v>2923</v>
      </c>
    </row>
    <row r="184" spans="1:21" x14ac:dyDescent="0.25">
      <c r="A184" s="4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 s="6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1">
        <v>45748</v>
      </c>
      <c r="R184" s="1">
        <v>45751</v>
      </c>
      <c r="S184" s="14">
        <f>Sales[[#This Row],[DeliveryDate]]-Sales[[#This Row],[OrderDate]]</f>
        <v>3</v>
      </c>
      <c r="T184" s="14" t="str">
        <f>IF(Sales[[#This Row],[Delivery Days]]&lt;=$W$2, "Timely", "Delayed")</f>
        <v>Timely</v>
      </c>
      <c r="U184" t="s">
        <v>2922</v>
      </c>
    </row>
    <row r="185" spans="1:21" x14ac:dyDescent="0.25">
      <c r="A185" s="4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 s="6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1">
        <v>45474</v>
      </c>
      <c r="R185" s="1">
        <v>45479</v>
      </c>
      <c r="S185" s="14">
        <f>Sales[[#This Row],[DeliveryDate]]-Sales[[#This Row],[OrderDate]]</f>
        <v>5</v>
      </c>
      <c r="T185" s="14" t="str">
        <f>IF(Sales[[#This Row],[Delivery Days]]&lt;=$W$2, "Timely", "Delayed")</f>
        <v>Timely</v>
      </c>
      <c r="U185" t="s">
        <v>2926</v>
      </c>
    </row>
    <row r="186" spans="1:21" x14ac:dyDescent="0.25">
      <c r="A186" s="4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 s="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1">
        <v>45269</v>
      </c>
      <c r="R186" s="1">
        <v>45278</v>
      </c>
      <c r="S186" s="14">
        <f>Sales[[#This Row],[DeliveryDate]]-Sales[[#This Row],[OrderDate]]</f>
        <v>9</v>
      </c>
      <c r="T186" s="14" t="str">
        <f>IF(Sales[[#This Row],[Delivery Days]]&lt;=$W$2, "Timely", "Delayed")</f>
        <v>Delayed</v>
      </c>
      <c r="U186" t="s">
        <v>2926</v>
      </c>
    </row>
    <row r="187" spans="1:21" x14ac:dyDescent="0.25">
      <c r="A187" s="4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 s="6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1">
        <v>45104</v>
      </c>
      <c r="R187" s="1">
        <v>45107</v>
      </c>
      <c r="S187" s="14">
        <f>Sales[[#This Row],[DeliveryDate]]-Sales[[#This Row],[OrderDate]]</f>
        <v>3</v>
      </c>
      <c r="T187" s="14" t="str">
        <f>IF(Sales[[#This Row],[Delivery Days]]&lt;=$W$2, "Timely", "Delayed")</f>
        <v>Timely</v>
      </c>
      <c r="U187" t="s">
        <v>2924</v>
      </c>
    </row>
    <row r="188" spans="1:21" x14ac:dyDescent="0.25">
      <c r="A188" s="4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 s="6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1">
        <v>45121</v>
      </c>
      <c r="R188" s="1">
        <v>45124</v>
      </c>
      <c r="S188" s="14">
        <f>Sales[[#This Row],[DeliveryDate]]-Sales[[#This Row],[OrderDate]]</f>
        <v>3</v>
      </c>
      <c r="T188" s="14" t="str">
        <f>IF(Sales[[#This Row],[Delivery Days]]&lt;=$W$2, "Timely", "Delayed")</f>
        <v>Timely</v>
      </c>
      <c r="U188" t="s">
        <v>2923</v>
      </c>
    </row>
    <row r="189" spans="1:21" x14ac:dyDescent="0.25">
      <c r="A189" s="4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 s="6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1">
        <v>44965</v>
      </c>
      <c r="R189" s="1">
        <v>44973</v>
      </c>
      <c r="S189" s="14">
        <f>Sales[[#This Row],[DeliveryDate]]-Sales[[#This Row],[OrderDate]]</f>
        <v>8</v>
      </c>
      <c r="T189" s="14" t="str">
        <f>IF(Sales[[#This Row],[Delivery Days]]&lt;=$W$2, "Timely", "Delayed")</f>
        <v>Delayed</v>
      </c>
      <c r="U189" t="s">
        <v>2923</v>
      </c>
    </row>
    <row r="190" spans="1:21" x14ac:dyDescent="0.25">
      <c r="A190" s="4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 s="6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1">
        <v>45471</v>
      </c>
      <c r="R190" s="1">
        <v>45480</v>
      </c>
      <c r="S190" s="14">
        <f>Sales[[#This Row],[DeliveryDate]]-Sales[[#This Row],[OrderDate]]</f>
        <v>9</v>
      </c>
      <c r="T190" s="14" t="str">
        <f>IF(Sales[[#This Row],[Delivery Days]]&lt;=$W$2, "Timely", "Delayed")</f>
        <v>Delayed</v>
      </c>
      <c r="U190" t="s">
        <v>2926</v>
      </c>
    </row>
    <row r="191" spans="1:21" x14ac:dyDescent="0.25">
      <c r="A191" s="4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 s="6">
        <v>286.86</v>
      </c>
      <c r="K191" t="s">
        <v>45</v>
      </c>
      <c r="L191" t="s">
        <v>2941</v>
      </c>
      <c r="M191">
        <v>0</v>
      </c>
      <c r="N191" t="s">
        <v>240</v>
      </c>
      <c r="O191" t="s">
        <v>1739</v>
      </c>
      <c r="P191">
        <v>36.94</v>
      </c>
      <c r="Q191" s="1">
        <v>45397</v>
      </c>
      <c r="R191" s="1">
        <v>45404</v>
      </c>
      <c r="S191" s="14">
        <f>Sales[[#This Row],[DeliveryDate]]-Sales[[#This Row],[OrderDate]]</f>
        <v>7</v>
      </c>
      <c r="T191" s="14" t="str">
        <f>IF(Sales[[#This Row],[Delivery Days]]&lt;=$W$2, "Timely", "Delayed")</f>
        <v>Delayed</v>
      </c>
      <c r="U191" t="s">
        <v>2926</v>
      </c>
    </row>
    <row r="192" spans="1:21" x14ac:dyDescent="0.25">
      <c r="A192" s="4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 s="6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1">
        <v>45257</v>
      </c>
      <c r="R192" s="1">
        <v>45266</v>
      </c>
      <c r="S192" s="14">
        <f>Sales[[#This Row],[DeliveryDate]]-Sales[[#This Row],[OrderDate]]</f>
        <v>9</v>
      </c>
      <c r="T192" s="14" t="str">
        <f>IF(Sales[[#This Row],[Delivery Days]]&lt;=$W$2, "Timely", "Delayed")</f>
        <v>Delayed</v>
      </c>
      <c r="U192" t="s">
        <v>2922</v>
      </c>
    </row>
    <row r="193" spans="1:21" x14ac:dyDescent="0.25">
      <c r="A193" s="4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 s="6">
        <v>435.85</v>
      </c>
      <c r="K193" t="s">
        <v>46</v>
      </c>
      <c r="L193" t="s">
        <v>2941</v>
      </c>
      <c r="M193">
        <v>0</v>
      </c>
      <c r="N193" t="s">
        <v>242</v>
      </c>
      <c r="O193" t="s">
        <v>1741</v>
      </c>
      <c r="P193">
        <v>13.01</v>
      </c>
      <c r="Q193" s="1">
        <v>45743</v>
      </c>
      <c r="R193" s="1">
        <v>45745</v>
      </c>
      <c r="S193" s="14">
        <f>Sales[[#This Row],[DeliveryDate]]-Sales[[#This Row],[OrderDate]]</f>
        <v>2</v>
      </c>
      <c r="T193" s="14" t="str">
        <f>IF(Sales[[#This Row],[Delivery Days]]&lt;=$W$2, "Timely", "Delayed")</f>
        <v>Timely</v>
      </c>
      <c r="U193" t="s">
        <v>2922</v>
      </c>
    </row>
    <row r="194" spans="1:21" x14ac:dyDescent="0.25">
      <c r="A194" s="4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 s="6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1">
        <v>45144</v>
      </c>
      <c r="R194" s="1">
        <v>45148</v>
      </c>
      <c r="S194" s="14">
        <f>Sales[[#This Row],[DeliveryDate]]-Sales[[#This Row],[OrderDate]]</f>
        <v>4</v>
      </c>
      <c r="T194" s="14" t="str">
        <f>IF(Sales[[#This Row],[Delivery Days]]&lt;=$W$2, "Timely", "Delayed")</f>
        <v>Timely</v>
      </c>
      <c r="U194" t="s">
        <v>2923</v>
      </c>
    </row>
    <row r="195" spans="1:21" x14ac:dyDescent="0.25">
      <c r="A195" s="4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 s="6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1">
        <v>45639</v>
      </c>
      <c r="R195" s="1">
        <v>45648</v>
      </c>
      <c r="S195" s="14">
        <f>Sales[[#This Row],[DeliveryDate]]-Sales[[#This Row],[OrderDate]]</f>
        <v>9</v>
      </c>
      <c r="T195" s="14" t="str">
        <f>IF(Sales[[#This Row],[Delivery Days]]&lt;=$W$2, "Timely", "Delayed")</f>
        <v>Delayed</v>
      </c>
      <c r="U195" t="s">
        <v>2923</v>
      </c>
    </row>
    <row r="196" spans="1:21" x14ac:dyDescent="0.25">
      <c r="A196" s="4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 s="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1">
        <v>45674</v>
      </c>
      <c r="R196" s="1">
        <v>45683</v>
      </c>
      <c r="S196" s="14">
        <f>Sales[[#This Row],[DeliveryDate]]-Sales[[#This Row],[OrderDate]]</f>
        <v>9</v>
      </c>
      <c r="T196" s="14" t="str">
        <f>IF(Sales[[#This Row],[Delivery Days]]&lt;=$W$2, "Timely", "Delayed")</f>
        <v>Delayed</v>
      </c>
      <c r="U196" t="s">
        <v>2925</v>
      </c>
    </row>
    <row r="197" spans="1:21" x14ac:dyDescent="0.25">
      <c r="A197" s="4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 s="6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1">
        <v>45256</v>
      </c>
      <c r="R197" s="1">
        <v>45262</v>
      </c>
      <c r="S197" s="14">
        <f>Sales[[#This Row],[DeliveryDate]]-Sales[[#This Row],[OrderDate]]</f>
        <v>6</v>
      </c>
      <c r="T197" s="14" t="str">
        <f>IF(Sales[[#This Row],[Delivery Days]]&lt;=$W$2, "Timely", "Delayed")</f>
        <v>Timely</v>
      </c>
      <c r="U197" t="s">
        <v>2926</v>
      </c>
    </row>
    <row r="198" spans="1:21" x14ac:dyDescent="0.25">
      <c r="A198" s="4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 s="6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1">
        <v>44971</v>
      </c>
      <c r="R198" s="1">
        <v>44975</v>
      </c>
      <c r="S198" s="14">
        <f>Sales[[#This Row],[DeliveryDate]]-Sales[[#This Row],[OrderDate]]</f>
        <v>4</v>
      </c>
      <c r="T198" s="14" t="str">
        <f>IF(Sales[[#This Row],[Delivery Days]]&lt;=$W$2, "Timely", "Delayed")</f>
        <v>Timely</v>
      </c>
      <c r="U198" t="s">
        <v>2922</v>
      </c>
    </row>
    <row r="199" spans="1:21" x14ac:dyDescent="0.25">
      <c r="A199" s="4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 s="6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1">
        <v>45690</v>
      </c>
      <c r="R199" s="1">
        <v>45694</v>
      </c>
      <c r="S199" s="14">
        <f>Sales[[#This Row],[DeliveryDate]]-Sales[[#This Row],[OrderDate]]</f>
        <v>4</v>
      </c>
      <c r="T199" s="14" t="str">
        <f>IF(Sales[[#This Row],[Delivery Days]]&lt;=$W$2, "Timely", "Delayed")</f>
        <v>Timely</v>
      </c>
      <c r="U199" t="s">
        <v>2925</v>
      </c>
    </row>
    <row r="200" spans="1:21" x14ac:dyDescent="0.25">
      <c r="A200" s="4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 s="6">
        <v>1313.604</v>
      </c>
      <c r="K200" t="s">
        <v>44</v>
      </c>
      <c r="L200" t="s">
        <v>2941</v>
      </c>
      <c r="M200">
        <v>0</v>
      </c>
      <c r="N200" t="s">
        <v>249</v>
      </c>
      <c r="O200" t="s">
        <v>1748</v>
      </c>
      <c r="P200">
        <v>16.5</v>
      </c>
      <c r="Q200" s="1">
        <v>45027</v>
      </c>
      <c r="R200" s="1">
        <v>45036</v>
      </c>
      <c r="S200" s="14">
        <f>Sales[[#This Row],[DeliveryDate]]-Sales[[#This Row],[OrderDate]]</f>
        <v>9</v>
      </c>
      <c r="T200" s="14" t="str">
        <f>IF(Sales[[#This Row],[Delivery Days]]&lt;=$W$2, "Timely", "Delayed")</f>
        <v>Delayed</v>
      </c>
      <c r="U200" t="s">
        <v>2926</v>
      </c>
    </row>
    <row r="201" spans="1:21" x14ac:dyDescent="0.25">
      <c r="A201" s="4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 s="6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1">
        <v>45481</v>
      </c>
      <c r="R201" s="1">
        <v>45486</v>
      </c>
      <c r="S201" s="14">
        <f>Sales[[#This Row],[DeliveryDate]]-Sales[[#This Row],[OrderDate]]</f>
        <v>5</v>
      </c>
      <c r="T201" s="14" t="str">
        <f>IF(Sales[[#This Row],[Delivery Days]]&lt;=$W$2, "Timely", "Delayed")</f>
        <v>Timely</v>
      </c>
      <c r="U201" t="s">
        <v>2924</v>
      </c>
    </row>
    <row r="202" spans="1:21" x14ac:dyDescent="0.25">
      <c r="A202" s="4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 s="6">
        <v>2670.8870000000002</v>
      </c>
      <c r="K202" t="s">
        <v>43</v>
      </c>
      <c r="L202" t="s">
        <v>2941</v>
      </c>
      <c r="M202">
        <v>0</v>
      </c>
      <c r="N202" t="s">
        <v>251</v>
      </c>
      <c r="O202" t="s">
        <v>1750</v>
      </c>
      <c r="P202">
        <v>25.2</v>
      </c>
      <c r="Q202" s="1">
        <v>44965</v>
      </c>
      <c r="R202" s="1">
        <v>44971</v>
      </c>
      <c r="S202" s="14">
        <f>Sales[[#This Row],[DeliveryDate]]-Sales[[#This Row],[OrderDate]]</f>
        <v>6</v>
      </c>
      <c r="T202" s="14" t="str">
        <f>IF(Sales[[#This Row],[Delivery Days]]&lt;=$W$2, "Timely", "Delayed")</f>
        <v>Timely</v>
      </c>
      <c r="U202" t="s">
        <v>2925</v>
      </c>
    </row>
    <row r="203" spans="1:21" x14ac:dyDescent="0.25">
      <c r="A203" s="4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 s="6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1">
        <v>45391</v>
      </c>
      <c r="R203" s="1">
        <v>45398</v>
      </c>
      <c r="S203" s="14">
        <f>Sales[[#This Row],[DeliveryDate]]-Sales[[#This Row],[OrderDate]]</f>
        <v>7</v>
      </c>
      <c r="T203" s="14" t="str">
        <f>IF(Sales[[#This Row],[Delivery Days]]&lt;=$W$2, "Timely", "Delayed")</f>
        <v>Delayed</v>
      </c>
      <c r="U203" t="s">
        <v>2926</v>
      </c>
    </row>
    <row r="204" spans="1:21" x14ac:dyDescent="0.25">
      <c r="A204" s="4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 s="6">
        <v>3532.6934999999999</v>
      </c>
      <c r="K204" t="s">
        <v>44</v>
      </c>
      <c r="L204" t="s">
        <v>2941</v>
      </c>
      <c r="M204">
        <v>0</v>
      </c>
      <c r="N204" t="s">
        <v>253</v>
      </c>
      <c r="O204" t="s">
        <v>1752</v>
      </c>
      <c r="P204">
        <v>47.81</v>
      </c>
      <c r="Q204" s="1">
        <v>45152</v>
      </c>
      <c r="R204" s="1">
        <v>45156</v>
      </c>
      <c r="S204" s="14">
        <f>Sales[[#This Row],[DeliveryDate]]-Sales[[#This Row],[OrderDate]]</f>
        <v>4</v>
      </c>
      <c r="T204" s="14" t="str">
        <f>IF(Sales[[#This Row],[Delivery Days]]&lt;=$W$2, "Timely", "Delayed")</f>
        <v>Timely</v>
      </c>
      <c r="U204" t="s">
        <v>2925</v>
      </c>
    </row>
    <row r="205" spans="1:21" x14ac:dyDescent="0.25">
      <c r="A205" s="4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 s="6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1">
        <v>45537</v>
      </c>
      <c r="R205" s="1">
        <v>45541</v>
      </c>
      <c r="S205" s="14">
        <f>Sales[[#This Row],[DeliveryDate]]-Sales[[#This Row],[OrderDate]]</f>
        <v>4</v>
      </c>
      <c r="T205" s="14" t="str">
        <f>IF(Sales[[#This Row],[Delivery Days]]&lt;=$W$2, "Timely", "Delayed")</f>
        <v>Timely</v>
      </c>
      <c r="U205" t="s">
        <v>2926</v>
      </c>
    </row>
    <row r="206" spans="1:21" x14ac:dyDescent="0.25">
      <c r="A206" s="4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 s="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1">
        <v>45837</v>
      </c>
      <c r="R206" s="1">
        <v>45842</v>
      </c>
      <c r="S206" s="14">
        <f>Sales[[#This Row],[DeliveryDate]]-Sales[[#This Row],[OrderDate]]</f>
        <v>5</v>
      </c>
      <c r="T206" s="14" t="str">
        <f>IF(Sales[[#This Row],[Delivery Days]]&lt;=$W$2, "Timely", "Delayed")</f>
        <v>Timely</v>
      </c>
      <c r="U206" t="s">
        <v>2925</v>
      </c>
    </row>
    <row r="207" spans="1:21" x14ac:dyDescent="0.25">
      <c r="A207" s="4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 s="6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1">
        <v>45749</v>
      </c>
      <c r="R207" s="1">
        <v>45755</v>
      </c>
      <c r="S207" s="14">
        <f>Sales[[#This Row],[DeliveryDate]]-Sales[[#This Row],[OrderDate]]</f>
        <v>6</v>
      </c>
      <c r="T207" s="14" t="str">
        <f>IF(Sales[[#This Row],[Delivery Days]]&lt;=$W$2, "Timely", "Delayed")</f>
        <v>Timely</v>
      </c>
      <c r="U207" t="s">
        <v>2926</v>
      </c>
    </row>
    <row r="208" spans="1:21" x14ac:dyDescent="0.25">
      <c r="A208" s="4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 s="6">
        <v>4291.4399999999996</v>
      </c>
      <c r="K208" t="s">
        <v>47</v>
      </c>
      <c r="L208" t="s">
        <v>2941</v>
      </c>
      <c r="M208">
        <v>1</v>
      </c>
      <c r="N208" t="s">
        <v>257</v>
      </c>
      <c r="O208" t="s">
        <v>1756</v>
      </c>
      <c r="P208">
        <v>14.58</v>
      </c>
      <c r="Q208" s="1">
        <v>45043</v>
      </c>
      <c r="R208" s="1">
        <v>45053</v>
      </c>
      <c r="S208" s="14">
        <f>Sales[[#This Row],[DeliveryDate]]-Sales[[#This Row],[OrderDate]]</f>
        <v>10</v>
      </c>
      <c r="T208" s="14" t="str">
        <f>IF(Sales[[#This Row],[Delivery Days]]&lt;=$W$2, "Timely", "Delayed")</f>
        <v>Delayed</v>
      </c>
      <c r="U208" t="s">
        <v>2925</v>
      </c>
    </row>
    <row r="209" spans="1:21" x14ac:dyDescent="0.25">
      <c r="A209" s="4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 s="6">
        <v>94.33</v>
      </c>
      <c r="K209" t="s">
        <v>43</v>
      </c>
      <c r="L209" t="s">
        <v>2941</v>
      </c>
      <c r="M209">
        <v>0</v>
      </c>
      <c r="N209" t="s">
        <v>258</v>
      </c>
      <c r="O209" t="s">
        <v>1757</v>
      </c>
      <c r="P209">
        <v>49.17</v>
      </c>
      <c r="Q209" s="1">
        <v>45511</v>
      </c>
      <c r="R209" s="1">
        <v>45521</v>
      </c>
      <c r="S209" s="14">
        <f>Sales[[#This Row],[DeliveryDate]]-Sales[[#This Row],[OrderDate]]</f>
        <v>10</v>
      </c>
      <c r="T209" s="14" t="str">
        <f>IF(Sales[[#This Row],[Delivery Days]]&lt;=$W$2, "Timely", "Delayed")</f>
        <v>Delayed</v>
      </c>
      <c r="U209" t="s">
        <v>2922</v>
      </c>
    </row>
    <row r="210" spans="1:21" x14ac:dyDescent="0.25">
      <c r="A210" s="4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 s="6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1">
        <v>45031</v>
      </c>
      <c r="R210" s="1">
        <v>45041</v>
      </c>
      <c r="S210" s="14">
        <f>Sales[[#This Row],[DeliveryDate]]-Sales[[#This Row],[OrderDate]]</f>
        <v>10</v>
      </c>
      <c r="T210" s="14" t="str">
        <f>IF(Sales[[#This Row],[Delivery Days]]&lt;=$W$2, "Timely", "Delayed")</f>
        <v>Delayed</v>
      </c>
      <c r="U210" t="s">
        <v>2926</v>
      </c>
    </row>
    <row r="211" spans="1:21" x14ac:dyDescent="0.25">
      <c r="A211" s="4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 s="6">
        <v>2096.498</v>
      </c>
      <c r="K211" t="s">
        <v>44</v>
      </c>
      <c r="L211" t="s">
        <v>2941</v>
      </c>
      <c r="M211">
        <v>1</v>
      </c>
      <c r="N211" t="s">
        <v>260</v>
      </c>
      <c r="O211" t="s">
        <v>1758</v>
      </c>
      <c r="P211">
        <v>26.32</v>
      </c>
      <c r="Q211" s="1">
        <v>45150</v>
      </c>
      <c r="R211" s="1">
        <v>45153</v>
      </c>
      <c r="S211" s="14">
        <f>Sales[[#This Row],[DeliveryDate]]-Sales[[#This Row],[OrderDate]]</f>
        <v>3</v>
      </c>
      <c r="T211" s="14" t="str">
        <f>IF(Sales[[#This Row],[Delivery Days]]&lt;=$W$2, "Timely", "Delayed")</f>
        <v>Timely</v>
      </c>
      <c r="U211" t="s">
        <v>2923</v>
      </c>
    </row>
    <row r="212" spans="1:21" x14ac:dyDescent="0.25">
      <c r="A212" s="4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 s="6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1">
        <v>45096</v>
      </c>
      <c r="R212" s="1">
        <v>45105</v>
      </c>
      <c r="S212" s="14">
        <f>Sales[[#This Row],[DeliveryDate]]-Sales[[#This Row],[OrderDate]]</f>
        <v>9</v>
      </c>
      <c r="T212" s="14" t="str">
        <f>IF(Sales[[#This Row],[Delivery Days]]&lt;=$W$2, "Timely", "Delayed")</f>
        <v>Delayed</v>
      </c>
      <c r="U212" t="s">
        <v>2926</v>
      </c>
    </row>
    <row r="213" spans="1:21" x14ac:dyDescent="0.25">
      <c r="A213" s="4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 s="6">
        <v>162.108</v>
      </c>
      <c r="K213" t="s">
        <v>46</v>
      </c>
      <c r="L213" t="s">
        <v>2941</v>
      </c>
      <c r="M213">
        <v>0</v>
      </c>
      <c r="N213" t="s">
        <v>262</v>
      </c>
      <c r="O213" t="s">
        <v>1760</v>
      </c>
      <c r="P213">
        <v>27.07</v>
      </c>
      <c r="Q213" s="1">
        <v>45289</v>
      </c>
      <c r="R213" s="1">
        <v>45298</v>
      </c>
      <c r="S213" s="14">
        <f>Sales[[#This Row],[DeliveryDate]]-Sales[[#This Row],[OrderDate]]</f>
        <v>9</v>
      </c>
      <c r="T213" s="14" t="str">
        <f>IF(Sales[[#This Row],[Delivery Days]]&lt;=$W$2, "Timely", "Delayed")</f>
        <v>Delayed</v>
      </c>
      <c r="U213" t="s">
        <v>2922</v>
      </c>
    </row>
    <row r="214" spans="1:21" x14ac:dyDescent="0.25">
      <c r="A214" s="4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 s="6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1">
        <v>45011</v>
      </c>
      <c r="R214" s="1">
        <v>45015</v>
      </c>
      <c r="S214" s="14">
        <f>Sales[[#This Row],[DeliveryDate]]-Sales[[#This Row],[OrderDate]]</f>
        <v>4</v>
      </c>
      <c r="T214" s="14" t="str">
        <f>IF(Sales[[#This Row],[Delivery Days]]&lt;=$W$2, "Timely", "Delayed")</f>
        <v>Timely</v>
      </c>
      <c r="U214" t="s">
        <v>2922</v>
      </c>
    </row>
    <row r="215" spans="1:21" x14ac:dyDescent="0.25">
      <c r="A215" s="4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 s="6">
        <v>4650.3499999999995</v>
      </c>
      <c r="K215" t="s">
        <v>46</v>
      </c>
      <c r="L215" t="s">
        <v>2941</v>
      </c>
      <c r="M215">
        <v>0</v>
      </c>
      <c r="N215" t="s">
        <v>264</v>
      </c>
      <c r="O215" t="s">
        <v>1762</v>
      </c>
      <c r="P215">
        <v>14.76</v>
      </c>
      <c r="Q215" s="1">
        <v>45170</v>
      </c>
      <c r="R215" s="1">
        <v>45176</v>
      </c>
      <c r="S215" s="14">
        <f>Sales[[#This Row],[DeliveryDate]]-Sales[[#This Row],[OrderDate]]</f>
        <v>6</v>
      </c>
      <c r="T215" s="14" t="str">
        <f>IF(Sales[[#This Row],[Delivery Days]]&lt;=$W$2, "Timely", "Delayed")</f>
        <v>Timely</v>
      </c>
      <c r="U215" t="s">
        <v>2923</v>
      </c>
    </row>
    <row r="216" spans="1:21" x14ac:dyDescent="0.25">
      <c r="A216" s="4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 s="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1">
        <v>45509</v>
      </c>
      <c r="R216" s="1">
        <v>45517</v>
      </c>
      <c r="S216" s="14">
        <f>Sales[[#This Row],[DeliveryDate]]-Sales[[#This Row],[OrderDate]]</f>
        <v>8</v>
      </c>
      <c r="T216" s="14" t="str">
        <f>IF(Sales[[#This Row],[Delivery Days]]&lt;=$W$2, "Timely", "Delayed")</f>
        <v>Delayed</v>
      </c>
      <c r="U216" t="s">
        <v>2926</v>
      </c>
    </row>
    <row r="217" spans="1:21" x14ac:dyDescent="0.25">
      <c r="A217" s="4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 s="6">
        <v>9000.32</v>
      </c>
      <c r="K217" t="s">
        <v>44</v>
      </c>
      <c r="L217" t="s">
        <v>2941</v>
      </c>
      <c r="M217">
        <v>0</v>
      </c>
      <c r="N217" t="s">
        <v>266</v>
      </c>
      <c r="O217" t="s">
        <v>1764</v>
      </c>
      <c r="P217">
        <v>18.23</v>
      </c>
      <c r="Q217" s="1">
        <v>45680</v>
      </c>
      <c r="R217" s="1">
        <v>45684</v>
      </c>
      <c r="S217" s="14">
        <f>Sales[[#This Row],[DeliveryDate]]-Sales[[#This Row],[OrderDate]]</f>
        <v>4</v>
      </c>
      <c r="T217" s="14" t="str">
        <f>IF(Sales[[#This Row],[Delivery Days]]&lt;=$W$2, "Timely", "Delayed")</f>
        <v>Timely</v>
      </c>
      <c r="U217" t="s">
        <v>2924</v>
      </c>
    </row>
    <row r="218" spans="1:21" x14ac:dyDescent="0.25">
      <c r="A218" s="4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 s="6">
        <v>306.57600000000002</v>
      </c>
      <c r="K218" t="s">
        <v>45</v>
      </c>
      <c r="L218" t="s">
        <v>2941</v>
      </c>
      <c r="M218">
        <v>0</v>
      </c>
      <c r="N218" t="s">
        <v>267</v>
      </c>
      <c r="O218" t="s">
        <v>1765</v>
      </c>
      <c r="P218">
        <v>38.51</v>
      </c>
      <c r="Q218" s="1">
        <v>45062</v>
      </c>
      <c r="R218" s="1">
        <v>45069</v>
      </c>
      <c r="S218" s="14">
        <f>Sales[[#This Row],[DeliveryDate]]-Sales[[#This Row],[OrderDate]]</f>
        <v>7</v>
      </c>
      <c r="T218" s="14" t="str">
        <f>IF(Sales[[#This Row],[Delivery Days]]&lt;=$W$2, "Timely", "Delayed")</f>
        <v>Delayed</v>
      </c>
      <c r="U218" t="s">
        <v>2922</v>
      </c>
    </row>
    <row r="219" spans="1:21" x14ac:dyDescent="0.25">
      <c r="A219" s="4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 s="6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1">
        <v>44971</v>
      </c>
      <c r="R219" s="1">
        <v>44979</v>
      </c>
      <c r="S219" s="14">
        <f>Sales[[#This Row],[DeliveryDate]]-Sales[[#This Row],[OrderDate]]</f>
        <v>8</v>
      </c>
      <c r="T219" s="14" t="str">
        <f>IF(Sales[[#This Row],[Delivery Days]]&lt;=$W$2, "Timely", "Delayed")</f>
        <v>Delayed</v>
      </c>
      <c r="U219" t="s">
        <v>2924</v>
      </c>
    </row>
    <row r="220" spans="1:21" x14ac:dyDescent="0.25">
      <c r="A220" s="4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 s="6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1">
        <v>45446</v>
      </c>
      <c r="R220" s="1">
        <v>45455</v>
      </c>
      <c r="S220" s="14">
        <f>Sales[[#This Row],[DeliveryDate]]-Sales[[#This Row],[OrderDate]]</f>
        <v>9</v>
      </c>
      <c r="T220" s="14" t="str">
        <f>IF(Sales[[#This Row],[Delivery Days]]&lt;=$W$2, "Timely", "Delayed")</f>
        <v>Delayed</v>
      </c>
      <c r="U220" t="s">
        <v>2925</v>
      </c>
    </row>
    <row r="221" spans="1:21" x14ac:dyDescent="0.25">
      <c r="A221" s="4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 s="6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1">
        <v>45238</v>
      </c>
      <c r="R221" s="1">
        <v>45245</v>
      </c>
      <c r="S221" s="14">
        <f>Sales[[#This Row],[DeliveryDate]]-Sales[[#This Row],[OrderDate]]</f>
        <v>7</v>
      </c>
      <c r="T221" s="14" t="str">
        <f>IF(Sales[[#This Row],[Delivery Days]]&lt;=$W$2, "Timely", "Delayed")</f>
        <v>Delayed</v>
      </c>
      <c r="U221" t="s">
        <v>2925</v>
      </c>
    </row>
    <row r="222" spans="1:21" x14ac:dyDescent="0.25">
      <c r="A222" s="4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 s="6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1">
        <v>44950</v>
      </c>
      <c r="R222" s="1">
        <v>44952</v>
      </c>
      <c r="S222" s="14">
        <f>Sales[[#This Row],[DeliveryDate]]-Sales[[#This Row],[OrderDate]]</f>
        <v>2</v>
      </c>
      <c r="T222" s="14" t="str">
        <f>IF(Sales[[#This Row],[Delivery Days]]&lt;=$W$2, "Timely", "Delayed")</f>
        <v>Timely</v>
      </c>
      <c r="U222" t="s">
        <v>2926</v>
      </c>
    </row>
    <row r="223" spans="1:21" x14ac:dyDescent="0.25">
      <c r="A223" s="4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 s="6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1">
        <v>45736</v>
      </c>
      <c r="R223" s="1">
        <v>45744</v>
      </c>
      <c r="S223" s="14">
        <f>Sales[[#This Row],[DeliveryDate]]-Sales[[#This Row],[OrderDate]]</f>
        <v>8</v>
      </c>
      <c r="T223" s="14" t="str">
        <f>IF(Sales[[#This Row],[Delivery Days]]&lt;=$W$2, "Timely", "Delayed")</f>
        <v>Delayed</v>
      </c>
      <c r="U223" t="s">
        <v>2926</v>
      </c>
    </row>
    <row r="224" spans="1:21" x14ac:dyDescent="0.25">
      <c r="A224" s="4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 s="6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1">
        <v>45344</v>
      </c>
      <c r="R224" s="1">
        <v>45352</v>
      </c>
      <c r="S224" s="14">
        <f>Sales[[#This Row],[DeliveryDate]]-Sales[[#This Row],[OrderDate]]</f>
        <v>8</v>
      </c>
      <c r="T224" s="14" t="str">
        <f>IF(Sales[[#This Row],[Delivery Days]]&lt;=$W$2, "Timely", "Delayed")</f>
        <v>Delayed</v>
      </c>
      <c r="U224" t="s">
        <v>2926</v>
      </c>
    </row>
    <row r="225" spans="1:21" x14ac:dyDescent="0.25">
      <c r="A225" s="4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 s="6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1">
        <v>45749</v>
      </c>
      <c r="R225" s="1">
        <v>45757</v>
      </c>
      <c r="S225" s="14">
        <f>Sales[[#This Row],[DeliveryDate]]-Sales[[#This Row],[OrderDate]]</f>
        <v>8</v>
      </c>
      <c r="T225" s="14" t="str">
        <f>IF(Sales[[#This Row],[Delivery Days]]&lt;=$W$2, "Timely", "Delayed")</f>
        <v>Delayed</v>
      </c>
      <c r="U225" t="s">
        <v>2924</v>
      </c>
    </row>
    <row r="226" spans="1:21" x14ac:dyDescent="0.25">
      <c r="A226" s="4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 s="6">
        <v>7630.875</v>
      </c>
      <c r="K226" t="s">
        <v>44</v>
      </c>
      <c r="L226" t="s">
        <v>2941</v>
      </c>
      <c r="M226">
        <v>0</v>
      </c>
      <c r="N226" t="s">
        <v>275</v>
      </c>
      <c r="O226" t="s">
        <v>1773</v>
      </c>
      <c r="P226">
        <v>14.88</v>
      </c>
      <c r="Q226" s="1">
        <v>45820</v>
      </c>
      <c r="R226" s="1">
        <v>45826</v>
      </c>
      <c r="S226" s="14">
        <f>Sales[[#This Row],[DeliveryDate]]-Sales[[#This Row],[OrderDate]]</f>
        <v>6</v>
      </c>
      <c r="T226" s="14" t="str">
        <f>IF(Sales[[#This Row],[Delivery Days]]&lt;=$W$2, "Timely", "Delayed")</f>
        <v>Timely</v>
      </c>
      <c r="U226" t="s">
        <v>2924</v>
      </c>
    </row>
    <row r="227" spans="1:21" x14ac:dyDescent="0.25">
      <c r="A227" s="4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 s="6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1">
        <v>45059</v>
      </c>
      <c r="R227" s="1">
        <v>45063</v>
      </c>
      <c r="S227" s="14">
        <f>Sales[[#This Row],[DeliveryDate]]-Sales[[#This Row],[OrderDate]]</f>
        <v>4</v>
      </c>
      <c r="T227" s="14" t="str">
        <f>IF(Sales[[#This Row],[Delivery Days]]&lt;=$W$2, "Timely", "Delayed")</f>
        <v>Timely</v>
      </c>
      <c r="U227" t="s">
        <v>2922</v>
      </c>
    </row>
    <row r="228" spans="1:21" x14ac:dyDescent="0.25">
      <c r="A228" s="4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 s="6">
        <v>5777.96</v>
      </c>
      <c r="K228" t="s">
        <v>47</v>
      </c>
      <c r="L228" t="s">
        <v>2941</v>
      </c>
      <c r="M228">
        <v>0</v>
      </c>
      <c r="N228" t="s">
        <v>277</v>
      </c>
      <c r="O228" t="s">
        <v>1775</v>
      </c>
      <c r="P228">
        <v>44.86</v>
      </c>
      <c r="Q228" s="1">
        <v>45010</v>
      </c>
      <c r="R228" s="1">
        <v>45013</v>
      </c>
      <c r="S228" s="14">
        <f>Sales[[#This Row],[DeliveryDate]]-Sales[[#This Row],[OrderDate]]</f>
        <v>3</v>
      </c>
      <c r="T228" s="14" t="str">
        <f>IF(Sales[[#This Row],[Delivery Days]]&lt;=$W$2, "Timely", "Delayed")</f>
        <v>Timely</v>
      </c>
      <c r="U228" t="s">
        <v>2923</v>
      </c>
    </row>
    <row r="229" spans="1:21" x14ac:dyDescent="0.25">
      <c r="A229" s="4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 s="6">
        <v>5883.768</v>
      </c>
      <c r="K229" t="s">
        <v>46</v>
      </c>
      <c r="L229" t="s">
        <v>2941</v>
      </c>
      <c r="M229">
        <v>1</v>
      </c>
      <c r="N229" t="s">
        <v>278</v>
      </c>
      <c r="O229" t="s">
        <v>1776</v>
      </c>
      <c r="P229">
        <v>39.76</v>
      </c>
      <c r="Q229" s="1">
        <v>45618</v>
      </c>
      <c r="R229" s="1">
        <v>45621</v>
      </c>
      <c r="S229" s="14">
        <f>Sales[[#This Row],[DeliveryDate]]-Sales[[#This Row],[OrderDate]]</f>
        <v>3</v>
      </c>
      <c r="T229" s="14" t="str">
        <f>IF(Sales[[#This Row],[Delivery Days]]&lt;=$W$2, "Timely", "Delayed")</f>
        <v>Timely</v>
      </c>
      <c r="U229" t="s">
        <v>2923</v>
      </c>
    </row>
    <row r="230" spans="1:21" x14ac:dyDescent="0.25">
      <c r="A230" s="4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 s="6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1">
        <v>45114</v>
      </c>
      <c r="R230" s="1">
        <v>45124</v>
      </c>
      <c r="S230" s="14">
        <f>Sales[[#This Row],[DeliveryDate]]-Sales[[#This Row],[OrderDate]]</f>
        <v>10</v>
      </c>
      <c r="T230" s="14" t="str">
        <f>IF(Sales[[#This Row],[Delivery Days]]&lt;=$W$2, "Timely", "Delayed")</f>
        <v>Delayed</v>
      </c>
      <c r="U230" t="s">
        <v>2922</v>
      </c>
    </row>
    <row r="231" spans="1:21" x14ac:dyDescent="0.25">
      <c r="A231" s="4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 s="6">
        <v>10949.7</v>
      </c>
      <c r="K231" t="s">
        <v>45</v>
      </c>
      <c r="L231" t="s">
        <v>2941</v>
      </c>
      <c r="M231">
        <v>0</v>
      </c>
      <c r="N231" t="s">
        <v>280</v>
      </c>
      <c r="O231" t="s">
        <v>1778</v>
      </c>
      <c r="P231">
        <v>25.22</v>
      </c>
      <c r="Q231" s="1">
        <v>45570</v>
      </c>
      <c r="R231" s="1">
        <v>45574</v>
      </c>
      <c r="S231" s="14">
        <f>Sales[[#This Row],[DeliveryDate]]-Sales[[#This Row],[OrderDate]]</f>
        <v>4</v>
      </c>
      <c r="T231" s="14" t="str">
        <f>IF(Sales[[#This Row],[Delivery Days]]&lt;=$W$2, "Timely", "Delayed")</f>
        <v>Timely</v>
      </c>
      <c r="U231" t="s">
        <v>2922</v>
      </c>
    </row>
    <row r="232" spans="1:21" x14ac:dyDescent="0.25">
      <c r="A232" s="4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 s="6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1">
        <v>45382</v>
      </c>
      <c r="R232" s="1">
        <v>45390</v>
      </c>
      <c r="S232" s="14">
        <f>Sales[[#This Row],[DeliveryDate]]-Sales[[#This Row],[OrderDate]]</f>
        <v>8</v>
      </c>
      <c r="T232" s="14" t="str">
        <f>IF(Sales[[#This Row],[Delivery Days]]&lt;=$W$2, "Timely", "Delayed")</f>
        <v>Delayed</v>
      </c>
      <c r="U232" t="s">
        <v>2926</v>
      </c>
    </row>
    <row r="233" spans="1:21" x14ac:dyDescent="0.25">
      <c r="A233" s="4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 s="6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1">
        <v>45748</v>
      </c>
      <c r="R233" s="1">
        <v>45751</v>
      </c>
      <c r="S233" s="14">
        <f>Sales[[#This Row],[DeliveryDate]]-Sales[[#This Row],[OrderDate]]</f>
        <v>3</v>
      </c>
      <c r="T233" s="14" t="str">
        <f>IF(Sales[[#This Row],[Delivery Days]]&lt;=$W$2, "Timely", "Delayed")</f>
        <v>Timely</v>
      </c>
      <c r="U233" t="s">
        <v>2926</v>
      </c>
    </row>
    <row r="234" spans="1:21" x14ac:dyDescent="0.25">
      <c r="A234" s="4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 s="6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1">
        <v>45161</v>
      </c>
      <c r="R234" s="1">
        <v>45164</v>
      </c>
      <c r="S234" s="14">
        <f>Sales[[#This Row],[DeliveryDate]]-Sales[[#This Row],[OrderDate]]</f>
        <v>3</v>
      </c>
      <c r="T234" s="14" t="str">
        <f>IF(Sales[[#This Row],[Delivery Days]]&lt;=$W$2, "Timely", "Delayed")</f>
        <v>Timely</v>
      </c>
      <c r="U234" t="s">
        <v>2926</v>
      </c>
    </row>
    <row r="235" spans="1:21" x14ac:dyDescent="0.25">
      <c r="A235" s="4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 s="6">
        <v>257.94000000000011</v>
      </c>
      <c r="K235" t="s">
        <v>46</v>
      </c>
      <c r="L235" t="s">
        <v>2941</v>
      </c>
      <c r="M235">
        <v>0</v>
      </c>
      <c r="N235" t="s">
        <v>284</v>
      </c>
      <c r="O235" t="s">
        <v>1782</v>
      </c>
      <c r="P235">
        <v>6.22</v>
      </c>
      <c r="Q235" s="1">
        <v>45518</v>
      </c>
      <c r="R235" s="1">
        <v>45525</v>
      </c>
      <c r="S235" s="14">
        <f>Sales[[#This Row],[DeliveryDate]]-Sales[[#This Row],[OrderDate]]</f>
        <v>7</v>
      </c>
      <c r="T235" s="14" t="str">
        <f>IF(Sales[[#This Row],[Delivery Days]]&lt;=$W$2, "Timely", "Delayed")</f>
        <v>Delayed</v>
      </c>
      <c r="U235" t="s">
        <v>2923</v>
      </c>
    </row>
    <row r="236" spans="1:21" x14ac:dyDescent="0.25">
      <c r="A236" s="4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 s="6">
        <v>7644.0329999999994</v>
      </c>
      <c r="K236" t="s">
        <v>46</v>
      </c>
      <c r="L236" t="s">
        <v>2941</v>
      </c>
      <c r="M236">
        <v>0</v>
      </c>
      <c r="N236" t="s">
        <v>285</v>
      </c>
      <c r="O236" t="s">
        <v>1783</v>
      </c>
      <c r="P236">
        <v>9.64</v>
      </c>
      <c r="Q236" s="1">
        <v>45702</v>
      </c>
      <c r="R236" s="1">
        <v>45707</v>
      </c>
      <c r="S236" s="14">
        <f>Sales[[#This Row],[DeliveryDate]]-Sales[[#This Row],[OrderDate]]</f>
        <v>5</v>
      </c>
      <c r="T236" s="14" t="str">
        <f>IF(Sales[[#This Row],[Delivery Days]]&lt;=$W$2, "Timely", "Delayed")</f>
        <v>Timely</v>
      </c>
      <c r="U236" t="s">
        <v>2925</v>
      </c>
    </row>
    <row r="237" spans="1:21" x14ac:dyDescent="0.25">
      <c r="A237" s="4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 s="6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1">
        <v>45241</v>
      </c>
      <c r="R237" s="1">
        <v>45246</v>
      </c>
      <c r="S237" s="14">
        <f>Sales[[#This Row],[DeliveryDate]]-Sales[[#This Row],[OrderDate]]</f>
        <v>5</v>
      </c>
      <c r="T237" s="14" t="str">
        <f>IF(Sales[[#This Row],[Delivery Days]]&lt;=$W$2, "Timely", "Delayed")</f>
        <v>Timely</v>
      </c>
      <c r="U237" t="s">
        <v>2926</v>
      </c>
    </row>
    <row r="238" spans="1:21" x14ac:dyDescent="0.25">
      <c r="A238" s="4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 s="6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1">
        <v>45383</v>
      </c>
      <c r="R238" s="1">
        <v>45391</v>
      </c>
      <c r="S238" s="14">
        <f>Sales[[#This Row],[DeliveryDate]]-Sales[[#This Row],[OrderDate]]</f>
        <v>8</v>
      </c>
      <c r="T238" s="14" t="str">
        <f>IF(Sales[[#This Row],[Delivery Days]]&lt;=$W$2, "Timely", "Delayed")</f>
        <v>Delayed</v>
      </c>
      <c r="U238" t="s">
        <v>2925</v>
      </c>
    </row>
    <row r="239" spans="1:21" x14ac:dyDescent="0.25">
      <c r="A239" s="4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 s="6">
        <v>2640.24</v>
      </c>
      <c r="K239" t="s">
        <v>45</v>
      </c>
      <c r="L239" t="s">
        <v>2941</v>
      </c>
      <c r="M239">
        <v>0</v>
      </c>
      <c r="N239" t="s">
        <v>288</v>
      </c>
      <c r="O239" t="s">
        <v>1786</v>
      </c>
      <c r="P239">
        <v>29.4</v>
      </c>
      <c r="Q239" s="1">
        <v>45456</v>
      </c>
      <c r="R239" s="1">
        <v>45463</v>
      </c>
      <c r="S239" s="14">
        <f>Sales[[#This Row],[DeliveryDate]]-Sales[[#This Row],[OrderDate]]</f>
        <v>7</v>
      </c>
      <c r="T239" s="14" t="str">
        <f>IF(Sales[[#This Row],[Delivery Days]]&lt;=$W$2, "Timely", "Delayed")</f>
        <v>Delayed</v>
      </c>
      <c r="U239" t="s">
        <v>2923</v>
      </c>
    </row>
    <row r="240" spans="1:21" x14ac:dyDescent="0.25">
      <c r="A240" s="4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 s="6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1">
        <v>45258</v>
      </c>
      <c r="R240" s="1">
        <v>45263</v>
      </c>
      <c r="S240" s="14">
        <f>Sales[[#This Row],[DeliveryDate]]-Sales[[#This Row],[OrderDate]]</f>
        <v>5</v>
      </c>
      <c r="T240" s="14" t="str">
        <f>IF(Sales[[#This Row],[Delivery Days]]&lt;=$W$2, "Timely", "Delayed")</f>
        <v>Timely</v>
      </c>
      <c r="U240" t="s">
        <v>2924</v>
      </c>
    </row>
    <row r="241" spans="1:21" x14ac:dyDescent="0.25">
      <c r="A241" s="4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 s="6">
        <v>2831.895</v>
      </c>
      <c r="K241" t="s">
        <v>46</v>
      </c>
      <c r="L241" t="s">
        <v>2941</v>
      </c>
      <c r="M241">
        <v>1</v>
      </c>
      <c r="N241" t="s">
        <v>290</v>
      </c>
      <c r="O241" t="s">
        <v>1788</v>
      </c>
      <c r="P241">
        <v>8.59</v>
      </c>
      <c r="Q241" s="1">
        <v>45607</v>
      </c>
      <c r="R241" s="1">
        <v>45612</v>
      </c>
      <c r="S241" s="14">
        <f>Sales[[#This Row],[DeliveryDate]]-Sales[[#This Row],[OrderDate]]</f>
        <v>5</v>
      </c>
      <c r="T241" s="14" t="str">
        <f>IF(Sales[[#This Row],[Delivery Days]]&lt;=$W$2, "Timely", "Delayed")</f>
        <v>Timely</v>
      </c>
      <c r="U241" t="s">
        <v>2925</v>
      </c>
    </row>
    <row r="242" spans="1:21" x14ac:dyDescent="0.25">
      <c r="A242" s="4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 s="6">
        <v>651.67999999999995</v>
      </c>
      <c r="K242" t="s">
        <v>45</v>
      </c>
      <c r="L242" t="s">
        <v>2941</v>
      </c>
      <c r="M242">
        <v>0</v>
      </c>
      <c r="N242" t="s">
        <v>291</v>
      </c>
      <c r="O242" t="s">
        <v>1789</v>
      </c>
      <c r="P242">
        <v>24.72</v>
      </c>
      <c r="Q242" s="1">
        <v>45600</v>
      </c>
      <c r="R242" s="1">
        <v>45604</v>
      </c>
      <c r="S242" s="14">
        <f>Sales[[#This Row],[DeliveryDate]]-Sales[[#This Row],[OrderDate]]</f>
        <v>4</v>
      </c>
      <c r="T242" s="14" t="str">
        <f>IF(Sales[[#This Row],[Delivery Days]]&lt;=$W$2, "Timely", "Delayed")</f>
        <v>Timely</v>
      </c>
      <c r="U242" t="s">
        <v>2924</v>
      </c>
    </row>
    <row r="243" spans="1:21" x14ac:dyDescent="0.25">
      <c r="A243" s="4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 s="6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1">
        <v>44927</v>
      </c>
      <c r="R243" s="1">
        <v>44937</v>
      </c>
      <c r="S243" s="14">
        <f>Sales[[#This Row],[DeliveryDate]]-Sales[[#This Row],[OrderDate]]</f>
        <v>10</v>
      </c>
      <c r="T243" s="14" t="str">
        <f>IF(Sales[[#This Row],[Delivery Days]]&lt;=$W$2, "Timely", "Delayed")</f>
        <v>Delayed</v>
      </c>
      <c r="U243" t="s">
        <v>2925</v>
      </c>
    </row>
    <row r="244" spans="1:21" x14ac:dyDescent="0.25">
      <c r="A244" s="4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 s="6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1">
        <v>45675</v>
      </c>
      <c r="R244" s="1">
        <v>45677</v>
      </c>
      <c r="S244" s="14">
        <f>Sales[[#This Row],[DeliveryDate]]-Sales[[#This Row],[OrderDate]]</f>
        <v>2</v>
      </c>
      <c r="T244" s="14" t="str">
        <f>IF(Sales[[#This Row],[Delivery Days]]&lt;=$W$2, "Timely", "Delayed")</f>
        <v>Timely</v>
      </c>
      <c r="U244" t="s">
        <v>2924</v>
      </c>
    </row>
    <row r="245" spans="1:21" x14ac:dyDescent="0.25">
      <c r="A245" s="4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 s="6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1">
        <v>45048</v>
      </c>
      <c r="R245" s="1">
        <v>45056</v>
      </c>
      <c r="S245" s="14">
        <f>Sales[[#This Row],[DeliveryDate]]-Sales[[#This Row],[OrderDate]]</f>
        <v>8</v>
      </c>
      <c r="T245" s="14" t="str">
        <f>IF(Sales[[#This Row],[Delivery Days]]&lt;=$W$2, "Timely", "Delayed")</f>
        <v>Delayed</v>
      </c>
      <c r="U245" t="s">
        <v>2925</v>
      </c>
    </row>
    <row r="246" spans="1:21" x14ac:dyDescent="0.25">
      <c r="A246" s="4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 s="6">
        <v>2985.4549999999999</v>
      </c>
      <c r="K246" t="s">
        <v>43</v>
      </c>
      <c r="L246" t="s">
        <v>2941</v>
      </c>
      <c r="M246">
        <v>0</v>
      </c>
      <c r="N246" t="s">
        <v>295</v>
      </c>
      <c r="O246" t="s">
        <v>1793</v>
      </c>
      <c r="P246">
        <v>42.74</v>
      </c>
      <c r="Q246" s="1">
        <v>45804</v>
      </c>
      <c r="R246" s="1">
        <v>45810</v>
      </c>
      <c r="S246" s="14">
        <f>Sales[[#This Row],[DeliveryDate]]-Sales[[#This Row],[OrderDate]]</f>
        <v>6</v>
      </c>
      <c r="T246" s="14" t="str">
        <f>IF(Sales[[#This Row],[Delivery Days]]&lt;=$W$2, "Timely", "Delayed")</f>
        <v>Timely</v>
      </c>
      <c r="U246" t="s">
        <v>2926</v>
      </c>
    </row>
    <row r="247" spans="1:21" x14ac:dyDescent="0.25">
      <c r="A247" s="4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 s="6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1">
        <v>45653</v>
      </c>
      <c r="R247" s="1">
        <v>45662</v>
      </c>
      <c r="S247" s="14">
        <f>Sales[[#This Row],[DeliveryDate]]-Sales[[#This Row],[OrderDate]]</f>
        <v>9</v>
      </c>
      <c r="T247" s="14" t="str">
        <f>IF(Sales[[#This Row],[Delivery Days]]&lt;=$W$2, "Timely", "Delayed")</f>
        <v>Delayed</v>
      </c>
      <c r="U247" t="s">
        <v>2923</v>
      </c>
    </row>
    <row r="248" spans="1:21" x14ac:dyDescent="0.25">
      <c r="A248" s="4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 s="6">
        <v>236.03399999999999</v>
      </c>
      <c r="K248" t="s">
        <v>46</v>
      </c>
      <c r="L248" t="s">
        <v>2941</v>
      </c>
      <c r="M248">
        <v>0</v>
      </c>
      <c r="N248" t="s">
        <v>297</v>
      </c>
      <c r="O248" t="s">
        <v>1795</v>
      </c>
      <c r="P248">
        <v>14.74</v>
      </c>
      <c r="Q248" s="1">
        <v>45734</v>
      </c>
      <c r="R248" s="1">
        <v>45740</v>
      </c>
      <c r="S248" s="14">
        <f>Sales[[#This Row],[DeliveryDate]]-Sales[[#This Row],[OrderDate]]</f>
        <v>6</v>
      </c>
      <c r="T248" s="14" t="str">
        <f>IF(Sales[[#This Row],[Delivery Days]]&lt;=$W$2, "Timely", "Delayed")</f>
        <v>Timely</v>
      </c>
      <c r="U248" t="s">
        <v>2926</v>
      </c>
    </row>
    <row r="249" spans="1:21" x14ac:dyDescent="0.25">
      <c r="A249" s="4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 s="6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1">
        <v>45375</v>
      </c>
      <c r="R249" s="1">
        <v>45382</v>
      </c>
      <c r="S249" s="14">
        <f>Sales[[#This Row],[DeliveryDate]]-Sales[[#This Row],[OrderDate]]</f>
        <v>7</v>
      </c>
      <c r="T249" s="14" t="str">
        <f>IF(Sales[[#This Row],[Delivery Days]]&lt;=$W$2, "Timely", "Delayed")</f>
        <v>Delayed</v>
      </c>
      <c r="U249" t="s">
        <v>2922</v>
      </c>
    </row>
    <row r="250" spans="1:21" x14ac:dyDescent="0.25">
      <c r="A250" s="4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 s="6">
        <v>2944.962</v>
      </c>
      <c r="K250" t="s">
        <v>43</v>
      </c>
      <c r="L250" t="s">
        <v>2941</v>
      </c>
      <c r="M250">
        <v>1</v>
      </c>
      <c r="N250" t="s">
        <v>299</v>
      </c>
      <c r="O250" t="s">
        <v>1695</v>
      </c>
      <c r="P250">
        <v>5.15</v>
      </c>
      <c r="Q250" s="1">
        <v>45652</v>
      </c>
      <c r="R250" s="1">
        <v>45660</v>
      </c>
      <c r="S250" s="14">
        <f>Sales[[#This Row],[DeliveryDate]]-Sales[[#This Row],[OrderDate]]</f>
        <v>8</v>
      </c>
      <c r="T250" s="14" t="str">
        <f>IF(Sales[[#This Row],[Delivery Days]]&lt;=$W$2, "Timely", "Delayed")</f>
        <v>Delayed</v>
      </c>
      <c r="U250" t="s">
        <v>2922</v>
      </c>
    </row>
    <row r="251" spans="1:21" x14ac:dyDescent="0.25">
      <c r="A251" s="4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 s="6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1">
        <v>44937</v>
      </c>
      <c r="R251" s="1">
        <v>44940</v>
      </c>
      <c r="S251" s="14">
        <f>Sales[[#This Row],[DeliveryDate]]-Sales[[#This Row],[OrderDate]]</f>
        <v>3</v>
      </c>
      <c r="T251" s="14" t="str">
        <f>IF(Sales[[#This Row],[Delivery Days]]&lt;=$W$2, "Timely", "Delayed")</f>
        <v>Timely</v>
      </c>
      <c r="U251" t="s">
        <v>2924</v>
      </c>
    </row>
    <row r="252" spans="1:21" x14ac:dyDescent="0.25">
      <c r="A252" s="4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 s="6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1">
        <v>45809</v>
      </c>
      <c r="R252" s="1">
        <v>45818</v>
      </c>
      <c r="S252" s="14">
        <f>Sales[[#This Row],[DeliveryDate]]-Sales[[#This Row],[OrderDate]]</f>
        <v>9</v>
      </c>
      <c r="T252" s="14" t="str">
        <f>IF(Sales[[#This Row],[Delivery Days]]&lt;=$W$2, "Timely", "Delayed")</f>
        <v>Delayed</v>
      </c>
      <c r="U252" t="s">
        <v>2923</v>
      </c>
    </row>
    <row r="253" spans="1:21" x14ac:dyDescent="0.25">
      <c r="A253" s="4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 s="6">
        <v>4420.1190000000006</v>
      </c>
      <c r="K253" t="s">
        <v>45</v>
      </c>
      <c r="L253" t="s">
        <v>2941</v>
      </c>
      <c r="M253">
        <v>1</v>
      </c>
      <c r="N253" t="s">
        <v>302</v>
      </c>
      <c r="O253" t="s">
        <v>1798</v>
      </c>
      <c r="P253">
        <v>16.8</v>
      </c>
      <c r="Q253" s="1">
        <v>45561</v>
      </c>
      <c r="R253" s="1">
        <v>45566</v>
      </c>
      <c r="S253" s="14">
        <f>Sales[[#This Row],[DeliveryDate]]-Sales[[#This Row],[OrderDate]]</f>
        <v>5</v>
      </c>
      <c r="T253" s="14" t="str">
        <f>IF(Sales[[#This Row],[Delivery Days]]&lt;=$W$2, "Timely", "Delayed")</f>
        <v>Timely</v>
      </c>
      <c r="U253" t="s">
        <v>2922</v>
      </c>
    </row>
    <row r="254" spans="1:21" x14ac:dyDescent="0.25">
      <c r="A254" s="4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 s="6">
        <v>6072.66</v>
      </c>
      <c r="K254" t="s">
        <v>44</v>
      </c>
      <c r="L254" t="s">
        <v>2941</v>
      </c>
      <c r="M254">
        <v>0</v>
      </c>
      <c r="N254" t="s">
        <v>303</v>
      </c>
      <c r="O254" t="s">
        <v>1799</v>
      </c>
      <c r="P254">
        <v>43.17</v>
      </c>
      <c r="Q254" s="1">
        <v>45514</v>
      </c>
      <c r="R254" s="1">
        <v>45521</v>
      </c>
      <c r="S254" s="14">
        <f>Sales[[#This Row],[DeliveryDate]]-Sales[[#This Row],[OrderDate]]</f>
        <v>7</v>
      </c>
      <c r="T254" s="14" t="str">
        <f>IF(Sales[[#This Row],[Delivery Days]]&lt;=$W$2, "Timely", "Delayed")</f>
        <v>Delayed</v>
      </c>
      <c r="U254" t="s">
        <v>2922</v>
      </c>
    </row>
    <row r="255" spans="1:21" x14ac:dyDescent="0.25">
      <c r="A255" s="4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 s="6">
        <v>369.79199999999997</v>
      </c>
      <c r="K255" t="s">
        <v>47</v>
      </c>
      <c r="L255" t="s">
        <v>2941</v>
      </c>
      <c r="M255">
        <v>0</v>
      </c>
      <c r="N255" t="s">
        <v>304</v>
      </c>
      <c r="O255" t="s">
        <v>1800</v>
      </c>
      <c r="P255">
        <v>17.64</v>
      </c>
      <c r="Q255" s="1">
        <v>45718</v>
      </c>
      <c r="R255" s="1">
        <v>45726</v>
      </c>
      <c r="S255" s="14">
        <f>Sales[[#This Row],[DeliveryDate]]-Sales[[#This Row],[OrderDate]]</f>
        <v>8</v>
      </c>
      <c r="T255" s="14" t="str">
        <f>IF(Sales[[#This Row],[Delivery Days]]&lt;=$W$2, "Timely", "Delayed")</f>
        <v>Delayed</v>
      </c>
      <c r="U255" t="s">
        <v>2923</v>
      </c>
    </row>
    <row r="256" spans="1:21" x14ac:dyDescent="0.25">
      <c r="A256" s="4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 s="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1">
        <v>44978</v>
      </c>
      <c r="R256" s="1">
        <v>44987</v>
      </c>
      <c r="S256" s="14">
        <f>Sales[[#This Row],[DeliveryDate]]-Sales[[#This Row],[OrderDate]]</f>
        <v>9</v>
      </c>
      <c r="T256" s="14" t="str">
        <f>IF(Sales[[#This Row],[Delivery Days]]&lt;=$W$2, "Timely", "Delayed")</f>
        <v>Delayed</v>
      </c>
      <c r="U256" t="s">
        <v>2922</v>
      </c>
    </row>
    <row r="257" spans="1:21" x14ac:dyDescent="0.25">
      <c r="A257" s="4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 s="6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1">
        <v>45616</v>
      </c>
      <c r="R257" s="1">
        <v>45623</v>
      </c>
      <c r="S257" s="14">
        <f>Sales[[#This Row],[DeliveryDate]]-Sales[[#This Row],[OrderDate]]</f>
        <v>7</v>
      </c>
      <c r="T257" s="14" t="str">
        <f>IF(Sales[[#This Row],[Delivery Days]]&lt;=$W$2, "Timely", "Delayed")</f>
        <v>Delayed</v>
      </c>
      <c r="U257" t="s">
        <v>2922</v>
      </c>
    </row>
    <row r="258" spans="1:21" x14ac:dyDescent="0.25">
      <c r="A258" s="4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 s="6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1">
        <v>45164</v>
      </c>
      <c r="R258" s="1">
        <v>45167</v>
      </c>
      <c r="S258" s="14">
        <f>Sales[[#This Row],[DeliveryDate]]-Sales[[#This Row],[OrderDate]]</f>
        <v>3</v>
      </c>
      <c r="T258" s="14" t="str">
        <f>IF(Sales[[#This Row],[Delivery Days]]&lt;=$W$2, "Timely", "Delayed")</f>
        <v>Timely</v>
      </c>
      <c r="U258" t="s">
        <v>2922</v>
      </c>
    </row>
    <row r="259" spans="1:21" x14ac:dyDescent="0.25">
      <c r="A259" s="4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 s="6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1">
        <v>45292</v>
      </c>
      <c r="R259" s="1">
        <v>45299</v>
      </c>
      <c r="S259" s="14">
        <f>Sales[[#This Row],[DeliveryDate]]-Sales[[#This Row],[OrderDate]]</f>
        <v>7</v>
      </c>
      <c r="T259" s="14" t="str">
        <f>IF(Sales[[#This Row],[Delivery Days]]&lt;=$W$2, "Timely", "Delayed")</f>
        <v>Delayed</v>
      </c>
      <c r="U259" t="s">
        <v>2923</v>
      </c>
    </row>
    <row r="260" spans="1:21" x14ac:dyDescent="0.25">
      <c r="A260" s="4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 s="6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1">
        <v>45620</v>
      </c>
      <c r="R260" s="1">
        <v>45626</v>
      </c>
      <c r="S260" s="14">
        <f>Sales[[#This Row],[DeliveryDate]]-Sales[[#This Row],[OrderDate]]</f>
        <v>6</v>
      </c>
      <c r="T260" s="14" t="str">
        <f>IF(Sales[[#This Row],[Delivery Days]]&lt;=$W$2, "Timely", "Delayed")</f>
        <v>Timely</v>
      </c>
      <c r="U260" t="s">
        <v>2923</v>
      </c>
    </row>
    <row r="261" spans="1:21" x14ac:dyDescent="0.25">
      <c r="A261" s="4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 s="6">
        <v>299.04700000000003</v>
      </c>
      <c r="K261" t="s">
        <v>47</v>
      </c>
      <c r="L261" t="s">
        <v>2941</v>
      </c>
      <c r="M261">
        <v>0</v>
      </c>
      <c r="N261" t="s">
        <v>310</v>
      </c>
      <c r="O261" t="s">
        <v>1806</v>
      </c>
      <c r="P261">
        <v>17.12</v>
      </c>
      <c r="Q261" s="1">
        <v>45529</v>
      </c>
      <c r="R261" s="1">
        <v>45536</v>
      </c>
      <c r="S261" s="14">
        <f>Sales[[#This Row],[DeliveryDate]]-Sales[[#This Row],[OrderDate]]</f>
        <v>7</v>
      </c>
      <c r="T261" s="14" t="str">
        <f>IF(Sales[[#This Row],[Delivery Days]]&lt;=$W$2, "Timely", "Delayed")</f>
        <v>Delayed</v>
      </c>
      <c r="U261" t="s">
        <v>2923</v>
      </c>
    </row>
    <row r="262" spans="1:21" x14ac:dyDescent="0.25">
      <c r="A262" s="4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 s="6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1">
        <v>45087</v>
      </c>
      <c r="R262" s="1">
        <v>45095</v>
      </c>
      <c r="S262" s="14">
        <f>Sales[[#This Row],[DeliveryDate]]-Sales[[#This Row],[OrderDate]]</f>
        <v>8</v>
      </c>
      <c r="T262" s="14" t="str">
        <f>IF(Sales[[#This Row],[Delivery Days]]&lt;=$W$2, "Timely", "Delayed")</f>
        <v>Delayed</v>
      </c>
      <c r="U262" t="s">
        <v>2923</v>
      </c>
    </row>
    <row r="263" spans="1:21" x14ac:dyDescent="0.25">
      <c r="A263" s="4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 s="6">
        <v>2945.88</v>
      </c>
      <c r="K263" t="s">
        <v>46</v>
      </c>
      <c r="L263" t="s">
        <v>2941</v>
      </c>
      <c r="M263">
        <v>0</v>
      </c>
      <c r="N263" t="s">
        <v>312</v>
      </c>
      <c r="O263" t="s">
        <v>1808</v>
      </c>
      <c r="P263">
        <v>15.64</v>
      </c>
      <c r="Q263" s="1">
        <v>45644</v>
      </c>
      <c r="R263" s="1">
        <v>45652</v>
      </c>
      <c r="S263" s="14">
        <f>Sales[[#This Row],[DeliveryDate]]-Sales[[#This Row],[OrderDate]]</f>
        <v>8</v>
      </c>
      <c r="T263" s="14" t="str">
        <f>IF(Sales[[#This Row],[Delivery Days]]&lt;=$W$2, "Timely", "Delayed")</f>
        <v>Delayed</v>
      </c>
      <c r="U263" t="s">
        <v>2924</v>
      </c>
    </row>
    <row r="264" spans="1:21" x14ac:dyDescent="0.25">
      <c r="A264" s="4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 s="6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1">
        <v>45166</v>
      </c>
      <c r="R264" s="1">
        <v>45170</v>
      </c>
      <c r="S264" s="14">
        <f>Sales[[#This Row],[DeliveryDate]]-Sales[[#This Row],[OrderDate]]</f>
        <v>4</v>
      </c>
      <c r="T264" s="14" t="str">
        <f>IF(Sales[[#This Row],[Delivery Days]]&lt;=$W$2, "Timely", "Delayed")</f>
        <v>Timely</v>
      </c>
      <c r="U264" t="s">
        <v>2922</v>
      </c>
    </row>
    <row r="265" spans="1:21" x14ac:dyDescent="0.25">
      <c r="A265" s="4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 s="6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1">
        <v>44948</v>
      </c>
      <c r="R265" s="1">
        <v>44957</v>
      </c>
      <c r="S265" s="14">
        <f>Sales[[#This Row],[DeliveryDate]]-Sales[[#This Row],[OrderDate]]</f>
        <v>9</v>
      </c>
      <c r="T265" s="14" t="str">
        <f>IF(Sales[[#This Row],[Delivery Days]]&lt;=$W$2, "Timely", "Delayed")</f>
        <v>Delayed</v>
      </c>
      <c r="U265" t="s">
        <v>2926</v>
      </c>
    </row>
    <row r="266" spans="1:21" x14ac:dyDescent="0.25">
      <c r="A266" s="4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 s="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1">
        <v>44964</v>
      </c>
      <c r="R266" s="1">
        <v>44971</v>
      </c>
      <c r="S266" s="14">
        <f>Sales[[#This Row],[DeliveryDate]]-Sales[[#This Row],[OrderDate]]</f>
        <v>7</v>
      </c>
      <c r="T266" s="14" t="str">
        <f>IF(Sales[[#This Row],[Delivery Days]]&lt;=$W$2, "Timely", "Delayed")</f>
        <v>Delayed</v>
      </c>
      <c r="U266" t="s">
        <v>2924</v>
      </c>
    </row>
    <row r="267" spans="1:21" x14ac:dyDescent="0.25">
      <c r="A267" s="4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 s="6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1">
        <v>45252</v>
      </c>
      <c r="R267" s="1">
        <v>45259</v>
      </c>
      <c r="S267" s="14">
        <f>Sales[[#This Row],[DeliveryDate]]-Sales[[#This Row],[OrderDate]]</f>
        <v>7</v>
      </c>
      <c r="T267" s="14" t="str">
        <f>IF(Sales[[#This Row],[Delivery Days]]&lt;=$W$2, "Timely", "Delayed")</f>
        <v>Delayed</v>
      </c>
      <c r="U267" t="s">
        <v>2923</v>
      </c>
    </row>
    <row r="268" spans="1:21" x14ac:dyDescent="0.25">
      <c r="A268" s="4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 s="6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1">
        <v>44951</v>
      </c>
      <c r="R268" s="1">
        <v>44955</v>
      </c>
      <c r="S268" s="14">
        <f>Sales[[#This Row],[DeliveryDate]]-Sales[[#This Row],[OrderDate]]</f>
        <v>4</v>
      </c>
      <c r="T268" s="14" t="str">
        <f>IF(Sales[[#This Row],[Delivery Days]]&lt;=$W$2, "Timely", "Delayed")</f>
        <v>Timely</v>
      </c>
      <c r="U268" t="s">
        <v>2926</v>
      </c>
    </row>
    <row r="269" spans="1:21" x14ac:dyDescent="0.25">
      <c r="A269" s="4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 s="6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1">
        <v>45721</v>
      </c>
      <c r="R269" s="1">
        <v>45725</v>
      </c>
      <c r="S269" s="14">
        <f>Sales[[#This Row],[DeliveryDate]]-Sales[[#This Row],[OrderDate]]</f>
        <v>4</v>
      </c>
      <c r="T269" s="14" t="str">
        <f>IF(Sales[[#This Row],[Delivery Days]]&lt;=$W$2, "Timely", "Delayed")</f>
        <v>Timely</v>
      </c>
      <c r="U269" t="s">
        <v>2923</v>
      </c>
    </row>
    <row r="270" spans="1:21" x14ac:dyDescent="0.25">
      <c r="A270" s="4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 s="6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1">
        <v>44959</v>
      </c>
      <c r="R270" s="1">
        <v>44969</v>
      </c>
      <c r="S270" s="14">
        <f>Sales[[#This Row],[DeliveryDate]]-Sales[[#This Row],[OrderDate]]</f>
        <v>10</v>
      </c>
      <c r="T270" s="14" t="str">
        <f>IF(Sales[[#This Row],[Delivery Days]]&lt;=$W$2, "Timely", "Delayed")</f>
        <v>Delayed</v>
      </c>
      <c r="U270" t="s">
        <v>2924</v>
      </c>
    </row>
    <row r="271" spans="1:21" x14ac:dyDescent="0.25">
      <c r="A271" s="4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 s="6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1">
        <v>45070</v>
      </c>
      <c r="R271" s="1">
        <v>45078</v>
      </c>
      <c r="S271" s="14">
        <f>Sales[[#This Row],[DeliveryDate]]-Sales[[#This Row],[OrderDate]]</f>
        <v>8</v>
      </c>
      <c r="T271" s="14" t="str">
        <f>IF(Sales[[#This Row],[Delivery Days]]&lt;=$W$2, "Timely", "Delayed")</f>
        <v>Delayed</v>
      </c>
      <c r="U271" t="s">
        <v>2924</v>
      </c>
    </row>
    <row r="272" spans="1:21" x14ac:dyDescent="0.25">
      <c r="A272" s="4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 s="6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1">
        <v>45442</v>
      </c>
      <c r="R272" s="1">
        <v>45449</v>
      </c>
      <c r="S272" s="14">
        <f>Sales[[#This Row],[DeliveryDate]]-Sales[[#This Row],[OrderDate]]</f>
        <v>7</v>
      </c>
      <c r="T272" s="14" t="str">
        <f>IF(Sales[[#This Row],[Delivery Days]]&lt;=$W$2, "Timely", "Delayed")</f>
        <v>Delayed</v>
      </c>
      <c r="U272" t="s">
        <v>2923</v>
      </c>
    </row>
    <row r="273" spans="1:21" x14ac:dyDescent="0.25">
      <c r="A273" s="4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 s="6">
        <v>7389.6450000000004</v>
      </c>
      <c r="K273" t="s">
        <v>45</v>
      </c>
      <c r="L273" t="s">
        <v>2941</v>
      </c>
      <c r="M273">
        <v>0</v>
      </c>
      <c r="N273" t="s">
        <v>322</v>
      </c>
      <c r="O273" t="s">
        <v>1817</v>
      </c>
      <c r="P273">
        <v>31.22</v>
      </c>
      <c r="Q273" s="1">
        <v>45314</v>
      </c>
      <c r="R273" s="1">
        <v>45322</v>
      </c>
      <c r="S273" s="14">
        <f>Sales[[#This Row],[DeliveryDate]]-Sales[[#This Row],[OrderDate]]</f>
        <v>8</v>
      </c>
      <c r="T273" s="14" t="str">
        <f>IF(Sales[[#This Row],[Delivery Days]]&lt;=$W$2, "Timely", "Delayed")</f>
        <v>Delayed</v>
      </c>
      <c r="U273" t="s">
        <v>2926</v>
      </c>
    </row>
    <row r="274" spans="1:21" x14ac:dyDescent="0.25">
      <c r="A274" s="4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 s="6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1">
        <v>44963</v>
      </c>
      <c r="R274" s="1">
        <v>44972</v>
      </c>
      <c r="S274" s="14">
        <f>Sales[[#This Row],[DeliveryDate]]-Sales[[#This Row],[OrderDate]]</f>
        <v>9</v>
      </c>
      <c r="T274" s="14" t="str">
        <f>IF(Sales[[#This Row],[Delivery Days]]&lt;=$W$2, "Timely", "Delayed")</f>
        <v>Delayed</v>
      </c>
      <c r="U274" t="s">
        <v>2924</v>
      </c>
    </row>
    <row r="275" spans="1:21" x14ac:dyDescent="0.25">
      <c r="A275" s="4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 s="6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1">
        <v>45488</v>
      </c>
      <c r="R275" s="1">
        <v>45492</v>
      </c>
      <c r="S275" s="14">
        <f>Sales[[#This Row],[DeliveryDate]]-Sales[[#This Row],[OrderDate]]</f>
        <v>4</v>
      </c>
      <c r="T275" s="14" t="str">
        <f>IF(Sales[[#This Row],[Delivery Days]]&lt;=$W$2, "Timely", "Delayed")</f>
        <v>Timely</v>
      </c>
      <c r="U275" t="s">
        <v>2926</v>
      </c>
    </row>
    <row r="276" spans="1:21" x14ac:dyDescent="0.25">
      <c r="A276" s="4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 s="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1">
        <v>45722</v>
      </c>
      <c r="R276" s="1">
        <v>45732</v>
      </c>
      <c r="S276" s="14">
        <f>Sales[[#This Row],[DeliveryDate]]-Sales[[#This Row],[OrderDate]]</f>
        <v>10</v>
      </c>
      <c r="T276" s="14" t="str">
        <f>IF(Sales[[#This Row],[Delivery Days]]&lt;=$W$2, "Timely", "Delayed")</f>
        <v>Delayed</v>
      </c>
      <c r="U276" t="s">
        <v>2922</v>
      </c>
    </row>
    <row r="277" spans="1:21" x14ac:dyDescent="0.25">
      <c r="A277" s="4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 s="6">
        <v>105.264</v>
      </c>
      <c r="K277" t="s">
        <v>44</v>
      </c>
      <c r="L277" t="s">
        <v>2941</v>
      </c>
      <c r="M277">
        <v>0</v>
      </c>
      <c r="N277" t="s">
        <v>326</v>
      </c>
      <c r="O277" t="s">
        <v>1821</v>
      </c>
      <c r="P277">
        <v>42.37</v>
      </c>
      <c r="Q277" s="1">
        <v>45136</v>
      </c>
      <c r="R277" s="1">
        <v>45146</v>
      </c>
      <c r="S277" s="14">
        <f>Sales[[#This Row],[DeliveryDate]]-Sales[[#This Row],[OrderDate]]</f>
        <v>10</v>
      </c>
      <c r="T277" s="14" t="str">
        <f>IF(Sales[[#This Row],[Delivery Days]]&lt;=$W$2, "Timely", "Delayed")</f>
        <v>Delayed</v>
      </c>
      <c r="U277" t="s">
        <v>2925</v>
      </c>
    </row>
    <row r="278" spans="1:21" x14ac:dyDescent="0.25">
      <c r="A278" s="4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 s="6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1">
        <v>45133</v>
      </c>
      <c r="R278" s="1">
        <v>45136</v>
      </c>
      <c r="S278" s="14">
        <f>Sales[[#This Row],[DeliveryDate]]-Sales[[#This Row],[OrderDate]]</f>
        <v>3</v>
      </c>
      <c r="T278" s="14" t="str">
        <f>IF(Sales[[#This Row],[Delivery Days]]&lt;=$W$2, "Timely", "Delayed")</f>
        <v>Timely</v>
      </c>
      <c r="U278" t="s">
        <v>2924</v>
      </c>
    </row>
    <row r="279" spans="1:21" x14ac:dyDescent="0.25">
      <c r="A279" s="4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 s="6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1">
        <v>45392</v>
      </c>
      <c r="R279" s="1">
        <v>45395</v>
      </c>
      <c r="S279" s="14">
        <f>Sales[[#This Row],[DeliveryDate]]-Sales[[#This Row],[OrderDate]]</f>
        <v>3</v>
      </c>
      <c r="T279" s="14" t="str">
        <f>IF(Sales[[#This Row],[Delivery Days]]&lt;=$W$2, "Timely", "Delayed")</f>
        <v>Timely</v>
      </c>
      <c r="U279" t="s">
        <v>2926</v>
      </c>
    </row>
    <row r="280" spans="1:21" x14ac:dyDescent="0.25">
      <c r="A280" s="4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 s="6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1">
        <v>45681</v>
      </c>
      <c r="R280" s="1">
        <v>45684</v>
      </c>
      <c r="S280" s="14">
        <f>Sales[[#This Row],[DeliveryDate]]-Sales[[#This Row],[OrderDate]]</f>
        <v>3</v>
      </c>
      <c r="T280" s="14" t="str">
        <f>IF(Sales[[#This Row],[Delivery Days]]&lt;=$W$2, "Timely", "Delayed")</f>
        <v>Timely</v>
      </c>
      <c r="U280" t="s">
        <v>2924</v>
      </c>
    </row>
    <row r="281" spans="1:21" x14ac:dyDescent="0.25">
      <c r="A281" s="4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 s="6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1">
        <v>45774</v>
      </c>
      <c r="R281" s="1">
        <v>45780</v>
      </c>
      <c r="S281" s="14">
        <f>Sales[[#This Row],[DeliveryDate]]-Sales[[#This Row],[OrderDate]]</f>
        <v>6</v>
      </c>
      <c r="T281" s="14" t="str">
        <f>IF(Sales[[#This Row],[Delivery Days]]&lt;=$W$2, "Timely", "Delayed")</f>
        <v>Timely</v>
      </c>
      <c r="U281" t="s">
        <v>2926</v>
      </c>
    </row>
    <row r="282" spans="1:21" x14ac:dyDescent="0.25">
      <c r="A282" s="4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 s="6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1">
        <v>45708</v>
      </c>
      <c r="R282" s="1">
        <v>45711</v>
      </c>
      <c r="S282" s="14">
        <f>Sales[[#This Row],[DeliveryDate]]-Sales[[#This Row],[OrderDate]]</f>
        <v>3</v>
      </c>
      <c r="T282" s="14" t="str">
        <f>IF(Sales[[#This Row],[Delivery Days]]&lt;=$W$2, "Timely", "Delayed")</f>
        <v>Timely</v>
      </c>
      <c r="U282" t="s">
        <v>2922</v>
      </c>
    </row>
    <row r="283" spans="1:21" x14ac:dyDescent="0.25">
      <c r="A283" s="4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 s="6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1">
        <v>45183</v>
      </c>
      <c r="R283" s="1">
        <v>45188</v>
      </c>
      <c r="S283" s="14">
        <f>Sales[[#This Row],[DeliveryDate]]-Sales[[#This Row],[OrderDate]]</f>
        <v>5</v>
      </c>
      <c r="T283" s="14" t="str">
        <f>IF(Sales[[#This Row],[Delivery Days]]&lt;=$W$2, "Timely", "Delayed")</f>
        <v>Timely</v>
      </c>
      <c r="U283" t="s">
        <v>2924</v>
      </c>
    </row>
    <row r="284" spans="1:21" x14ac:dyDescent="0.25">
      <c r="A284" s="4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 s="6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1">
        <v>45399</v>
      </c>
      <c r="R284" s="1">
        <v>45409</v>
      </c>
      <c r="S284" s="14">
        <f>Sales[[#This Row],[DeliveryDate]]-Sales[[#This Row],[OrderDate]]</f>
        <v>10</v>
      </c>
      <c r="T284" s="14" t="str">
        <f>IF(Sales[[#This Row],[Delivery Days]]&lt;=$W$2, "Timely", "Delayed")</f>
        <v>Delayed</v>
      </c>
      <c r="U284" t="s">
        <v>2926</v>
      </c>
    </row>
    <row r="285" spans="1:21" x14ac:dyDescent="0.25">
      <c r="A285" s="4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 s="6">
        <v>6732.84</v>
      </c>
      <c r="K285" t="s">
        <v>44</v>
      </c>
      <c r="L285" t="s">
        <v>2941</v>
      </c>
      <c r="M285">
        <v>0</v>
      </c>
      <c r="N285" t="s">
        <v>334</v>
      </c>
      <c r="O285" t="s">
        <v>1828</v>
      </c>
      <c r="P285">
        <v>35.020000000000003</v>
      </c>
      <c r="Q285" s="1">
        <v>45610</v>
      </c>
      <c r="R285" s="1">
        <v>45614</v>
      </c>
      <c r="S285" s="14">
        <f>Sales[[#This Row],[DeliveryDate]]-Sales[[#This Row],[OrderDate]]</f>
        <v>4</v>
      </c>
      <c r="T285" s="14" t="str">
        <f>IF(Sales[[#This Row],[Delivery Days]]&lt;=$W$2, "Timely", "Delayed")</f>
        <v>Timely</v>
      </c>
      <c r="U285" t="s">
        <v>2925</v>
      </c>
    </row>
    <row r="286" spans="1:21" x14ac:dyDescent="0.25">
      <c r="A286" s="4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 s="6">
        <v>3337.335</v>
      </c>
      <c r="K286" t="s">
        <v>44</v>
      </c>
      <c r="L286" t="s">
        <v>2941</v>
      </c>
      <c r="M286">
        <v>0</v>
      </c>
      <c r="N286" t="s">
        <v>335</v>
      </c>
      <c r="O286" t="s">
        <v>1829</v>
      </c>
      <c r="P286">
        <v>45.42</v>
      </c>
      <c r="Q286" s="1">
        <v>45498</v>
      </c>
      <c r="R286" s="1">
        <v>45500</v>
      </c>
      <c r="S286" s="14">
        <f>Sales[[#This Row],[DeliveryDate]]-Sales[[#This Row],[OrderDate]]</f>
        <v>2</v>
      </c>
      <c r="T286" s="14" t="str">
        <f>IF(Sales[[#This Row],[Delivery Days]]&lt;=$W$2, "Timely", "Delayed")</f>
        <v>Timely</v>
      </c>
      <c r="U286" t="s">
        <v>2924</v>
      </c>
    </row>
    <row r="287" spans="1:21" x14ac:dyDescent="0.25">
      <c r="A287" s="4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 s="6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1">
        <v>45509</v>
      </c>
      <c r="R287" s="1">
        <v>45519</v>
      </c>
      <c r="S287" s="14">
        <f>Sales[[#This Row],[DeliveryDate]]-Sales[[#This Row],[OrderDate]]</f>
        <v>10</v>
      </c>
      <c r="T287" s="14" t="str">
        <f>IF(Sales[[#This Row],[Delivery Days]]&lt;=$W$2, "Timely", "Delayed")</f>
        <v>Delayed</v>
      </c>
      <c r="U287" t="s">
        <v>2922</v>
      </c>
    </row>
    <row r="288" spans="1:21" x14ac:dyDescent="0.25">
      <c r="A288" s="4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 s="6">
        <v>3195.24</v>
      </c>
      <c r="K288" t="s">
        <v>46</v>
      </c>
      <c r="L288" t="s">
        <v>2941</v>
      </c>
      <c r="M288">
        <v>1</v>
      </c>
      <c r="N288" t="s">
        <v>337</v>
      </c>
      <c r="O288" t="s">
        <v>1831</v>
      </c>
      <c r="P288">
        <v>25.09</v>
      </c>
      <c r="Q288" s="1">
        <v>45680</v>
      </c>
      <c r="R288" s="1">
        <v>45690</v>
      </c>
      <c r="S288" s="14">
        <f>Sales[[#This Row],[DeliveryDate]]-Sales[[#This Row],[OrderDate]]</f>
        <v>10</v>
      </c>
      <c r="T288" s="14" t="str">
        <f>IF(Sales[[#This Row],[Delivery Days]]&lt;=$W$2, "Timely", "Delayed")</f>
        <v>Delayed</v>
      </c>
      <c r="U288" t="s">
        <v>2926</v>
      </c>
    </row>
    <row r="289" spans="1:21" x14ac:dyDescent="0.25">
      <c r="A289" s="4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 s="6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1">
        <v>45774</v>
      </c>
      <c r="R289" s="1">
        <v>45780</v>
      </c>
      <c r="S289" s="14">
        <f>Sales[[#This Row],[DeliveryDate]]-Sales[[#This Row],[OrderDate]]</f>
        <v>6</v>
      </c>
      <c r="T289" s="14" t="str">
        <f>IF(Sales[[#This Row],[Delivery Days]]&lt;=$W$2, "Timely", "Delayed")</f>
        <v>Timely</v>
      </c>
      <c r="U289" t="s">
        <v>2926</v>
      </c>
    </row>
    <row r="290" spans="1:21" x14ac:dyDescent="0.25">
      <c r="A290" s="4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 s="6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1">
        <v>45555</v>
      </c>
      <c r="R290" s="1">
        <v>45558</v>
      </c>
      <c r="S290" s="14">
        <f>Sales[[#This Row],[DeliveryDate]]-Sales[[#This Row],[OrderDate]]</f>
        <v>3</v>
      </c>
      <c r="T290" s="14" t="str">
        <f>IF(Sales[[#This Row],[Delivery Days]]&lt;=$W$2, "Timely", "Delayed")</f>
        <v>Timely</v>
      </c>
      <c r="U290" t="s">
        <v>2923</v>
      </c>
    </row>
    <row r="291" spans="1:21" x14ac:dyDescent="0.25">
      <c r="A291" s="4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 s="6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1">
        <v>45177</v>
      </c>
      <c r="R291" s="1">
        <v>45184</v>
      </c>
      <c r="S291" s="14">
        <f>Sales[[#This Row],[DeliveryDate]]-Sales[[#This Row],[OrderDate]]</f>
        <v>7</v>
      </c>
      <c r="T291" s="14" t="str">
        <f>IF(Sales[[#This Row],[Delivery Days]]&lt;=$W$2, "Timely", "Delayed")</f>
        <v>Delayed</v>
      </c>
      <c r="U291" t="s">
        <v>2926</v>
      </c>
    </row>
    <row r="292" spans="1:21" x14ac:dyDescent="0.25">
      <c r="A292" s="4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 s="6">
        <v>2894.6</v>
      </c>
      <c r="K292" t="s">
        <v>45</v>
      </c>
      <c r="L292" t="s">
        <v>2941</v>
      </c>
      <c r="M292">
        <v>1</v>
      </c>
      <c r="N292" t="s">
        <v>341</v>
      </c>
      <c r="O292" t="s">
        <v>1835</v>
      </c>
      <c r="P292">
        <v>44.09</v>
      </c>
      <c r="Q292" s="1">
        <v>45767</v>
      </c>
      <c r="R292" s="1">
        <v>45775</v>
      </c>
      <c r="S292" s="14">
        <f>Sales[[#This Row],[DeliveryDate]]-Sales[[#This Row],[OrderDate]]</f>
        <v>8</v>
      </c>
      <c r="T292" s="14" t="str">
        <f>IF(Sales[[#This Row],[Delivery Days]]&lt;=$W$2, "Timely", "Delayed")</f>
        <v>Delayed</v>
      </c>
      <c r="U292" t="s">
        <v>2923</v>
      </c>
    </row>
    <row r="293" spans="1:21" x14ac:dyDescent="0.25">
      <c r="A293" s="4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 s="6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1">
        <v>45463</v>
      </c>
      <c r="R293" s="1">
        <v>45470</v>
      </c>
      <c r="S293" s="14">
        <f>Sales[[#This Row],[DeliveryDate]]-Sales[[#This Row],[OrderDate]]</f>
        <v>7</v>
      </c>
      <c r="T293" s="14" t="str">
        <f>IF(Sales[[#This Row],[Delivery Days]]&lt;=$W$2, "Timely", "Delayed")</f>
        <v>Delayed</v>
      </c>
      <c r="U293" t="s">
        <v>2924</v>
      </c>
    </row>
    <row r="294" spans="1:21" x14ac:dyDescent="0.25">
      <c r="A294" s="4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 s="6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1">
        <v>44937</v>
      </c>
      <c r="R294" s="1">
        <v>44946</v>
      </c>
      <c r="S294" s="14">
        <f>Sales[[#This Row],[DeliveryDate]]-Sales[[#This Row],[OrderDate]]</f>
        <v>9</v>
      </c>
      <c r="T294" s="14" t="str">
        <f>IF(Sales[[#This Row],[Delivery Days]]&lt;=$W$2, "Timely", "Delayed")</f>
        <v>Delayed</v>
      </c>
      <c r="U294" t="s">
        <v>2922</v>
      </c>
    </row>
    <row r="295" spans="1:21" x14ac:dyDescent="0.25">
      <c r="A295" s="4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 s="6">
        <v>7561.2684999999992</v>
      </c>
      <c r="K295" t="s">
        <v>47</v>
      </c>
      <c r="L295" t="s">
        <v>2941</v>
      </c>
      <c r="M295">
        <v>0</v>
      </c>
      <c r="N295" t="s">
        <v>344</v>
      </c>
      <c r="O295" t="s">
        <v>1838</v>
      </c>
      <c r="P295">
        <v>13.84</v>
      </c>
      <c r="Q295" s="1">
        <v>45111</v>
      </c>
      <c r="R295" s="1">
        <v>45114</v>
      </c>
      <c r="S295" s="14">
        <f>Sales[[#This Row],[DeliveryDate]]-Sales[[#This Row],[OrderDate]]</f>
        <v>3</v>
      </c>
      <c r="T295" s="14" t="str">
        <f>IF(Sales[[#This Row],[Delivery Days]]&lt;=$W$2, "Timely", "Delayed")</f>
        <v>Timely</v>
      </c>
      <c r="U295" t="s">
        <v>2924</v>
      </c>
    </row>
    <row r="296" spans="1:21" x14ac:dyDescent="0.25">
      <c r="A296" s="4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 s="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1">
        <v>45724</v>
      </c>
      <c r="R296" s="1">
        <v>45734</v>
      </c>
      <c r="S296" s="14">
        <f>Sales[[#This Row],[DeliveryDate]]-Sales[[#This Row],[OrderDate]]</f>
        <v>10</v>
      </c>
      <c r="T296" s="14" t="str">
        <f>IF(Sales[[#This Row],[Delivery Days]]&lt;=$W$2, "Timely", "Delayed")</f>
        <v>Delayed</v>
      </c>
      <c r="U296" t="s">
        <v>2925</v>
      </c>
    </row>
    <row r="297" spans="1:21" x14ac:dyDescent="0.25">
      <c r="A297" s="4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 s="6">
        <v>2657.61</v>
      </c>
      <c r="K297" t="s">
        <v>47</v>
      </c>
      <c r="L297" t="s">
        <v>2941</v>
      </c>
      <c r="M297">
        <v>0</v>
      </c>
      <c r="N297" t="s">
        <v>346</v>
      </c>
      <c r="O297" t="s">
        <v>1840</v>
      </c>
      <c r="P297">
        <v>31.14</v>
      </c>
      <c r="Q297" s="1">
        <v>45698</v>
      </c>
      <c r="R297" s="1">
        <v>45700</v>
      </c>
      <c r="S297" s="14">
        <f>Sales[[#This Row],[DeliveryDate]]-Sales[[#This Row],[OrderDate]]</f>
        <v>2</v>
      </c>
      <c r="T297" s="14" t="str">
        <f>IF(Sales[[#This Row],[Delivery Days]]&lt;=$W$2, "Timely", "Delayed")</f>
        <v>Timely</v>
      </c>
      <c r="U297" t="s">
        <v>2923</v>
      </c>
    </row>
    <row r="298" spans="1:21" x14ac:dyDescent="0.25">
      <c r="A298" s="4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 s="6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1">
        <v>45733</v>
      </c>
      <c r="R298" s="1">
        <v>45737</v>
      </c>
      <c r="S298" s="14">
        <f>Sales[[#This Row],[DeliveryDate]]-Sales[[#This Row],[OrderDate]]</f>
        <v>4</v>
      </c>
      <c r="T298" s="14" t="str">
        <f>IF(Sales[[#This Row],[Delivery Days]]&lt;=$W$2, "Timely", "Delayed")</f>
        <v>Timely</v>
      </c>
      <c r="U298" t="s">
        <v>2926</v>
      </c>
    </row>
    <row r="299" spans="1:21" x14ac:dyDescent="0.25">
      <c r="A299" s="4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 s="6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1">
        <v>45239</v>
      </c>
      <c r="R299" s="1">
        <v>45245</v>
      </c>
      <c r="S299" s="14">
        <f>Sales[[#This Row],[DeliveryDate]]-Sales[[#This Row],[OrderDate]]</f>
        <v>6</v>
      </c>
      <c r="T299" s="14" t="str">
        <f>IF(Sales[[#This Row],[Delivery Days]]&lt;=$W$2, "Timely", "Delayed")</f>
        <v>Timely</v>
      </c>
      <c r="U299" t="s">
        <v>2922</v>
      </c>
    </row>
    <row r="300" spans="1:21" x14ac:dyDescent="0.25">
      <c r="A300" s="4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 s="6">
        <v>5045.7824999999993</v>
      </c>
      <c r="K300" t="s">
        <v>43</v>
      </c>
      <c r="L300" t="s">
        <v>2941</v>
      </c>
      <c r="M300">
        <v>1</v>
      </c>
      <c r="N300" t="s">
        <v>349</v>
      </c>
      <c r="O300" t="s">
        <v>1843</v>
      </c>
      <c r="P300">
        <v>25.3</v>
      </c>
      <c r="Q300" s="1">
        <v>45260</v>
      </c>
      <c r="R300" s="1">
        <v>45268</v>
      </c>
      <c r="S300" s="14">
        <f>Sales[[#This Row],[DeliveryDate]]-Sales[[#This Row],[OrderDate]]</f>
        <v>8</v>
      </c>
      <c r="T300" s="14" t="str">
        <f>IF(Sales[[#This Row],[Delivery Days]]&lt;=$W$2, "Timely", "Delayed")</f>
        <v>Delayed</v>
      </c>
      <c r="U300" t="s">
        <v>2925</v>
      </c>
    </row>
    <row r="301" spans="1:21" x14ac:dyDescent="0.25">
      <c r="A301" s="4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 s="6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1">
        <v>45519</v>
      </c>
      <c r="R301" s="1">
        <v>45524</v>
      </c>
      <c r="S301" s="14">
        <f>Sales[[#This Row],[DeliveryDate]]-Sales[[#This Row],[OrderDate]]</f>
        <v>5</v>
      </c>
      <c r="T301" s="14" t="str">
        <f>IF(Sales[[#This Row],[Delivery Days]]&lt;=$W$2, "Timely", "Delayed")</f>
        <v>Timely</v>
      </c>
      <c r="U301" t="s">
        <v>2923</v>
      </c>
    </row>
    <row r="302" spans="1:21" x14ac:dyDescent="0.25">
      <c r="A302" s="4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 s="6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1">
        <v>45006</v>
      </c>
      <c r="R302" s="1">
        <v>45011</v>
      </c>
      <c r="S302" s="14">
        <f>Sales[[#This Row],[DeliveryDate]]-Sales[[#This Row],[OrderDate]]</f>
        <v>5</v>
      </c>
      <c r="T302" s="14" t="str">
        <f>IF(Sales[[#This Row],[Delivery Days]]&lt;=$W$2, "Timely", "Delayed")</f>
        <v>Timely</v>
      </c>
      <c r="U302" t="s">
        <v>2926</v>
      </c>
    </row>
    <row r="303" spans="1:21" x14ac:dyDescent="0.25">
      <c r="A303" s="4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 s="6">
        <v>248.8</v>
      </c>
      <c r="K303" t="s">
        <v>43</v>
      </c>
      <c r="L303" t="s">
        <v>2941</v>
      </c>
      <c r="M303">
        <v>0</v>
      </c>
      <c r="N303" t="s">
        <v>352</v>
      </c>
      <c r="O303" t="s">
        <v>1846</v>
      </c>
      <c r="P303">
        <v>37.049999999999997</v>
      </c>
      <c r="Q303" s="1">
        <v>45225</v>
      </c>
      <c r="R303" s="1">
        <v>45230</v>
      </c>
      <c r="S303" s="14">
        <f>Sales[[#This Row],[DeliveryDate]]-Sales[[#This Row],[OrderDate]]</f>
        <v>5</v>
      </c>
      <c r="T303" s="14" t="str">
        <f>IF(Sales[[#This Row],[Delivery Days]]&lt;=$W$2, "Timely", "Delayed")</f>
        <v>Timely</v>
      </c>
      <c r="U303" t="s">
        <v>2926</v>
      </c>
    </row>
    <row r="304" spans="1:21" x14ac:dyDescent="0.25">
      <c r="A304" s="4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 s="6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1">
        <v>45233</v>
      </c>
      <c r="R304" s="1">
        <v>45241</v>
      </c>
      <c r="S304" s="14">
        <f>Sales[[#This Row],[DeliveryDate]]-Sales[[#This Row],[OrderDate]]</f>
        <v>8</v>
      </c>
      <c r="T304" s="14" t="str">
        <f>IF(Sales[[#This Row],[Delivery Days]]&lt;=$W$2, "Timely", "Delayed")</f>
        <v>Delayed</v>
      </c>
      <c r="U304" t="s">
        <v>2926</v>
      </c>
    </row>
    <row r="305" spans="1:21" x14ac:dyDescent="0.25">
      <c r="A305" s="4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 s="6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1">
        <v>45687</v>
      </c>
      <c r="R305" s="1">
        <v>45693</v>
      </c>
      <c r="S305" s="14">
        <f>Sales[[#This Row],[DeliveryDate]]-Sales[[#This Row],[OrderDate]]</f>
        <v>6</v>
      </c>
      <c r="T305" s="14" t="str">
        <f>IF(Sales[[#This Row],[Delivery Days]]&lt;=$W$2, "Timely", "Delayed")</f>
        <v>Timely</v>
      </c>
      <c r="U305" t="s">
        <v>2924</v>
      </c>
    </row>
    <row r="306" spans="1:21" x14ac:dyDescent="0.25">
      <c r="A306" s="4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 s="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1">
        <v>45316</v>
      </c>
      <c r="R306" s="1">
        <v>45325</v>
      </c>
      <c r="S306" s="14">
        <f>Sales[[#This Row],[DeliveryDate]]-Sales[[#This Row],[OrderDate]]</f>
        <v>9</v>
      </c>
      <c r="T306" s="14" t="str">
        <f>IF(Sales[[#This Row],[Delivery Days]]&lt;=$W$2, "Timely", "Delayed")</f>
        <v>Delayed</v>
      </c>
      <c r="U306" t="s">
        <v>2926</v>
      </c>
    </row>
    <row r="307" spans="1:21" x14ac:dyDescent="0.25">
      <c r="A307" s="4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 s="6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1">
        <v>45745</v>
      </c>
      <c r="R307" s="1">
        <v>45749</v>
      </c>
      <c r="S307" s="14">
        <f>Sales[[#This Row],[DeliveryDate]]-Sales[[#This Row],[OrderDate]]</f>
        <v>4</v>
      </c>
      <c r="T307" s="14" t="str">
        <f>IF(Sales[[#This Row],[Delivery Days]]&lt;=$W$2, "Timely", "Delayed")</f>
        <v>Timely</v>
      </c>
      <c r="U307" t="s">
        <v>2923</v>
      </c>
    </row>
    <row r="308" spans="1:21" x14ac:dyDescent="0.25">
      <c r="A308" s="4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 s="6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1">
        <v>45598</v>
      </c>
      <c r="R308" s="1">
        <v>45605</v>
      </c>
      <c r="S308" s="14">
        <f>Sales[[#This Row],[DeliveryDate]]-Sales[[#This Row],[OrderDate]]</f>
        <v>7</v>
      </c>
      <c r="T308" s="14" t="str">
        <f>IF(Sales[[#This Row],[Delivery Days]]&lt;=$W$2, "Timely", "Delayed")</f>
        <v>Delayed</v>
      </c>
      <c r="U308" t="s">
        <v>2925</v>
      </c>
    </row>
    <row r="309" spans="1:21" x14ac:dyDescent="0.25">
      <c r="A309" s="4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 s="6">
        <v>5889.07</v>
      </c>
      <c r="K309" t="s">
        <v>47</v>
      </c>
      <c r="L309" t="s">
        <v>2941</v>
      </c>
      <c r="M309">
        <v>0</v>
      </c>
      <c r="N309" t="s">
        <v>358</v>
      </c>
      <c r="O309" t="s">
        <v>1852</v>
      </c>
      <c r="P309">
        <v>35.96</v>
      </c>
      <c r="Q309" s="1">
        <v>45473</v>
      </c>
      <c r="R309" s="1">
        <v>45482</v>
      </c>
      <c r="S309" s="14">
        <f>Sales[[#This Row],[DeliveryDate]]-Sales[[#This Row],[OrderDate]]</f>
        <v>9</v>
      </c>
      <c r="T309" s="14" t="str">
        <f>IF(Sales[[#This Row],[Delivery Days]]&lt;=$W$2, "Timely", "Delayed")</f>
        <v>Delayed</v>
      </c>
      <c r="U309" t="s">
        <v>2925</v>
      </c>
    </row>
    <row r="310" spans="1:21" x14ac:dyDescent="0.25">
      <c r="A310" s="4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 s="6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1">
        <v>44937</v>
      </c>
      <c r="R310" s="1">
        <v>44945</v>
      </c>
      <c r="S310" s="14">
        <f>Sales[[#This Row],[DeliveryDate]]-Sales[[#This Row],[OrderDate]]</f>
        <v>8</v>
      </c>
      <c r="T310" s="14" t="str">
        <f>IF(Sales[[#This Row],[Delivery Days]]&lt;=$W$2, "Timely", "Delayed")</f>
        <v>Delayed</v>
      </c>
      <c r="U310" t="s">
        <v>2923</v>
      </c>
    </row>
    <row r="311" spans="1:21" x14ac:dyDescent="0.25">
      <c r="A311" s="4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 s="6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1">
        <v>45813</v>
      </c>
      <c r="R311" s="1">
        <v>45822</v>
      </c>
      <c r="S311" s="14">
        <f>Sales[[#This Row],[DeliveryDate]]-Sales[[#This Row],[OrderDate]]</f>
        <v>9</v>
      </c>
      <c r="T311" s="14" t="str">
        <f>IF(Sales[[#This Row],[Delivery Days]]&lt;=$W$2, "Timely", "Delayed")</f>
        <v>Delayed</v>
      </c>
      <c r="U311" t="s">
        <v>2924</v>
      </c>
    </row>
    <row r="312" spans="1:21" x14ac:dyDescent="0.25">
      <c r="A312" s="4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 s="6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1">
        <v>45372</v>
      </c>
      <c r="R312" s="1">
        <v>45375</v>
      </c>
      <c r="S312" s="14">
        <f>Sales[[#This Row],[DeliveryDate]]-Sales[[#This Row],[OrderDate]]</f>
        <v>3</v>
      </c>
      <c r="T312" s="14" t="str">
        <f>IF(Sales[[#This Row],[Delivery Days]]&lt;=$W$2, "Timely", "Delayed")</f>
        <v>Timely</v>
      </c>
      <c r="U312" t="s">
        <v>2924</v>
      </c>
    </row>
    <row r="313" spans="1:21" x14ac:dyDescent="0.25">
      <c r="A313" s="4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 s="6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1">
        <v>45169</v>
      </c>
      <c r="R313" s="1">
        <v>45177</v>
      </c>
      <c r="S313" s="14">
        <f>Sales[[#This Row],[DeliveryDate]]-Sales[[#This Row],[OrderDate]]</f>
        <v>8</v>
      </c>
      <c r="T313" s="14" t="str">
        <f>IF(Sales[[#This Row],[Delivery Days]]&lt;=$W$2, "Timely", "Delayed")</f>
        <v>Delayed</v>
      </c>
      <c r="U313" t="s">
        <v>2923</v>
      </c>
    </row>
    <row r="314" spans="1:21" x14ac:dyDescent="0.25">
      <c r="A314" s="4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 s="6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1">
        <v>45572</v>
      </c>
      <c r="R314" s="1">
        <v>45582</v>
      </c>
      <c r="S314" s="14">
        <f>Sales[[#This Row],[DeliveryDate]]-Sales[[#This Row],[OrderDate]]</f>
        <v>10</v>
      </c>
      <c r="T314" s="14" t="str">
        <f>IF(Sales[[#This Row],[Delivery Days]]&lt;=$W$2, "Timely", "Delayed")</f>
        <v>Delayed</v>
      </c>
      <c r="U314" t="s">
        <v>2923</v>
      </c>
    </row>
    <row r="315" spans="1:21" x14ac:dyDescent="0.25">
      <c r="A315" s="4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 s="6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1">
        <v>45028</v>
      </c>
      <c r="R315" s="1">
        <v>45031</v>
      </c>
      <c r="S315" s="14">
        <f>Sales[[#This Row],[DeliveryDate]]-Sales[[#This Row],[OrderDate]]</f>
        <v>3</v>
      </c>
      <c r="T315" s="14" t="str">
        <f>IF(Sales[[#This Row],[Delivery Days]]&lt;=$W$2, "Timely", "Delayed")</f>
        <v>Timely</v>
      </c>
      <c r="U315" t="s">
        <v>2924</v>
      </c>
    </row>
    <row r="316" spans="1:21" x14ac:dyDescent="0.25">
      <c r="A316" s="4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 s="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1">
        <v>45236</v>
      </c>
      <c r="R316" s="1">
        <v>45246</v>
      </c>
      <c r="S316" s="14">
        <f>Sales[[#This Row],[DeliveryDate]]-Sales[[#This Row],[OrderDate]]</f>
        <v>10</v>
      </c>
      <c r="T316" s="14" t="str">
        <f>IF(Sales[[#This Row],[Delivery Days]]&lt;=$W$2, "Timely", "Delayed")</f>
        <v>Delayed</v>
      </c>
      <c r="U316" t="s">
        <v>2923</v>
      </c>
    </row>
    <row r="317" spans="1:21" x14ac:dyDescent="0.25">
      <c r="A317" s="4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 s="6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1">
        <v>45044</v>
      </c>
      <c r="R317" s="1">
        <v>45054</v>
      </c>
      <c r="S317" s="14">
        <f>Sales[[#This Row],[DeliveryDate]]-Sales[[#This Row],[OrderDate]]</f>
        <v>10</v>
      </c>
      <c r="T317" s="14" t="str">
        <f>IF(Sales[[#This Row],[Delivery Days]]&lt;=$W$2, "Timely", "Delayed")</f>
        <v>Delayed</v>
      </c>
      <c r="U317" t="s">
        <v>2926</v>
      </c>
    </row>
    <row r="318" spans="1:21" x14ac:dyDescent="0.25">
      <c r="A318" s="4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 s="6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1">
        <v>45278</v>
      </c>
      <c r="R318" s="1">
        <v>45281</v>
      </c>
      <c r="S318" s="14">
        <f>Sales[[#This Row],[DeliveryDate]]-Sales[[#This Row],[OrderDate]]</f>
        <v>3</v>
      </c>
      <c r="T318" s="14" t="str">
        <f>IF(Sales[[#This Row],[Delivery Days]]&lt;=$W$2, "Timely", "Delayed")</f>
        <v>Timely</v>
      </c>
      <c r="U318" t="s">
        <v>2926</v>
      </c>
    </row>
    <row r="319" spans="1:21" x14ac:dyDescent="0.25">
      <c r="A319" s="4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 s="6">
        <v>1482.39</v>
      </c>
      <c r="K319" t="s">
        <v>47</v>
      </c>
      <c r="L319" t="s">
        <v>2941</v>
      </c>
      <c r="M319">
        <v>0</v>
      </c>
      <c r="N319" t="s">
        <v>368</v>
      </c>
      <c r="O319" t="s">
        <v>1862</v>
      </c>
      <c r="P319">
        <v>43.81</v>
      </c>
      <c r="Q319" s="1">
        <v>45575</v>
      </c>
      <c r="R319" s="1">
        <v>45581</v>
      </c>
      <c r="S319" s="14">
        <f>Sales[[#This Row],[DeliveryDate]]-Sales[[#This Row],[OrderDate]]</f>
        <v>6</v>
      </c>
      <c r="T319" s="14" t="str">
        <f>IF(Sales[[#This Row],[Delivery Days]]&lt;=$W$2, "Timely", "Delayed")</f>
        <v>Timely</v>
      </c>
      <c r="U319" t="s">
        <v>2923</v>
      </c>
    </row>
    <row r="320" spans="1:21" x14ac:dyDescent="0.25">
      <c r="A320" s="4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 s="6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1">
        <v>44962</v>
      </c>
      <c r="R320" s="1">
        <v>44964</v>
      </c>
      <c r="S320" s="14">
        <f>Sales[[#This Row],[DeliveryDate]]-Sales[[#This Row],[OrderDate]]</f>
        <v>2</v>
      </c>
      <c r="T320" s="14" t="str">
        <f>IF(Sales[[#This Row],[Delivery Days]]&lt;=$W$2, "Timely", "Delayed")</f>
        <v>Timely</v>
      </c>
      <c r="U320" t="s">
        <v>2924</v>
      </c>
    </row>
    <row r="321" spans="1:21" x14ac:dyDescent="0.25">
      <c r="A321" s="4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 s="6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1">
        <v>45508</v>
      </c>
      <c r="R321" s="1">
        <v>45518</v>
      </c>
      <c r="S321" s="14">
        <f>Sales[[#This Row],[DeliveryDate]]-Sales[[#This Row],[OrderDate]]</f>
        <v>10</v>
      </c>
      <c r="T321" s="14" t="str">
        <f>IF(Sales[[#This Row],[Delivery Days]]&lt;=$W$2, "Timely", "Delayed")</f>
        <v>Delayed</v>
      </c>
      <c r="U321" t="s">
        <v>2925</v>
      </c>
    </row>
    <row r="322" spans="1:21" x14ac:dyDescent="0.25">
      <c r="A322" s="4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 s="6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1">
        <v>45588</v>
      </c>
      <c r="R322" s="1">
        <v>45597</v>
      </c>
      <c r="S322" s="14">
        <f>Sales[[#This Row],[DeliveryDate]]-Sales[[#This Row],[OrderDate]]</f>
        <v>9</v>
      </c>
      <c r="T322" s="14" t="str">
        <f>IF(Sales[[#This Row],[Delivery Days]]&lt;=$W$2, "Timely", "Delayed")</f>
        <v>Delayed</v>
      </c>
      <c r="U322" t="s">
        <v>2925</v>
      </c>
    </row>
    <row r="323" spans="1:21" x14ac:dyDescent="0.25">
      <c r="A323" s="4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 s="6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1">
        <v>45335</v>
      </c>
      <c r="R323" s="1">
        <v>45342</v>
      </c>
      <c r="S323" s="14">
        <f>Sales[[#This Row],[DeliveryDate]]-Sales[[#This Row],[OrderDate]]</f>
        <v>7</v>
      </c>
      <c r="T323" s="14" t="str">
        <f>IF(Sales[[#This Row],[Delivery Days]]&lt;=$W$2, "Timely", "Delayed")</f>
        <v>Delayed</v>
      </c>
      <c r="U323" t="s">
        <v>2926</v>
      </c>
    </row>
    <row r="324" spans="1:21" x14ac:dyDescent="0.25">
      <c r="A324" s="4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 s="6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1">
        <v>45446</v>
      </c>
      <c r="R324" s="1">
        <v>45450</v>
      </c>
      <c r="S324" s="14">
        <f>Sales[[#This Row],[DeliveryDate]]-Sales[[#This Row],[OrderDate]]</f>
        <v>4</v>
      </c>
      <c r="T324" s="14" t="str">
        <f>IF(Sales[[#This Row],[Delivery Days]]&lt;=$W$2, "Timely", "Delayed")</f>
        <v>Timely</v>
      </c>
      <c r="U324" t="s">
        <v>2923</v>
      </c>
    </row>
    <row r="325" spans="1:21" x14ac:dyDescent="0.25">
      <c r="A325" s="4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 s="6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1">
        <v>45030</v>
      </c>
      <c r="R325" s="1">
        <v>45034</v>
      </c>
      <c r="S325" s="14">
        <f>Sales[[#This Row],[DeliveryDate]]-Sales[[#This Row],[OrderDate]]</f>
        <v>4</v>
      </c>
      <c r="T325" s="14" t="str">
        <f>IF(Sales[[#This Row],[Delivery Days]]&lt;=$W$2, "Timely", "Delayed")</f>
        <v>Timely</v>
      </c>
      <c r="U325" t="s">
        <v>2923</v>
      </c>
    </row>
    <row r="326" spans="1:21" x14ac:dyDescent="0.25">
      <c r="A326" s="4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 s="6">
        <v>6631.9119999999994</v>
      </c>
      <c r="K326" t="s">
        <v>43</v>
      </c>
      <c r="L326" t="s">
        <v>2941</v>
      </c>
      <c r="M326">
        <v>0</v>
      </c>
      <c r="N326" t="s">
        <v>375</v>
      </c>
      <c r="O326" t="s">
        <v>1869</v>
      </c>
      <c r="P326">
        <v>47.61</v>
      </c>
      <c r="Q326" s="1">
        <v>45584</v>
      </c>
      <c r="R326" s="1">
        <v>45588</v>
      </c>
      <c r="S326" s="14">
        <f>Sales[[#This Row],[DeliveryDate]]-Sales[[#This Row],[OrderDate]]</f>
        <v>4</v>
      </c>
      <c r="T326" s="14" t="str">
        <f>IF(Sales[[#This Row],[Delivery Days]]&lt;=$W$2, "Timely", "Delayed")</f>
        <v>Timely</v>
      </c>
      <c r="U326" t="s">
        <v>2925</v>
      </c>
    </row>
    <row r="327" spans="1:21" x14ac:dyDescent="0.25">
      <c r="A327" s="4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 s="6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1">
        <v>45278</v>
      </c>
      <c r="R327" s="1">
        <v>45282</v>
      </c>
      <c r="S327" s="14">
        <f>Sales[[#This Row],[DeliveryDate]]-Sales[[#This Row],[OrderDate]]</f>
        <v>4</v>
      </c>
      <c r="T327" s="14" t="str">
        <f>IF(Sales[[#This Row],[Delivery Days]]&lt;=$W$2, "Timely", "Delayed")</f>
        <v>Timely</v>
      </c>
      <c r="U327" t="s">
        <v>2923</v>
      </c>
    </row>
    <row r="328" spans="1:21" x14ac:dyDescent="0.25">
      <c r="A328" s="4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 s="6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1">
        <v>45169</v>
      </c>
      <c r="R328" s="1">
        <v>45175</v>
      </c>
      <c r="S328" s="14">
        <f>Sales[[#This Row],[DeliveryDate]]-Sales[[#This Row],[OrderDate]]</f>
        <v>6</v>
      </c>
      <c r="T328" s="14" t="str">
        <f>IF(Sales[[#This Row],[Delivery Days]]&lt;=$W$2, "Timely", "Delayed")</f>
        <v>Timely</v>
      </c>
      <c r="U328" t="s">
        <v>2924</v>
      </c>
    </row>
    <row r="329" spans="1:21" x14ac:dyDescent="0.25">
      <c r="A329" s="4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 s="6">
        <v>1861.704</v>
      </c>
      <c r="K329" t="s">
        <v>44</v>
      </c>
      <c r="L329" t="s">
        <v>2941</v>
      </c>
      <c r="M329">
        <v>0</v>
      </c>
      <c r="N329" t="s">
        <v>378</v>
      </c>
      <c r="O329" t="s">
        <v>1872</v>
      </c>
      <c r="P329">
        <v>25.88</v>
      </c>
      <c r="Q329" s="1">
        <v>45188</v>
      </c>
      <c r="R329" s="1">
        <v>45195</v>
      </c>
      <c r="S329" s="14">
        <f>Sales[[#This Row],[DeliveryDate]]-Sales[[#This Row],[OrderDate]]</f>
        <v>7</v>
      </c>
      <c r="T329" s="14" t="str">
        <f>IF(Sales[[#This Row],[Delivery Days]]&lt;=$W$2, "Timely", "Delayed")</f>
        <v>Delayed</v>
      </c>
      <c r="U329" t="s">
        <v>2923</v>
      </c>
    </row>
    <row r="330" spans="1:21" x14ac:dyDescent="0.25">
      <c r="A330" s="4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 s="6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1">
        <v>44984</v>
      </c>
      <c r="R330" s="1">
        <v>44989</v>
      </c>
      <c r="S330" s="14">
        <f>Sales[[#This Row],[DeliveryDate]]-Sales[[#This Row],[OrderDate]]</f>
        <v>5</v>
      </c>
      <c r="T330" s="14" t="str">
        <f>IF(Sales[[#This Row],[Delivery Days]]&lt;=$W$2, "Timely", "Delayed")</f>
        <v>Timely</v>
      </c>
      <c r="U330" t="s">
        <v>2925</v>
      </c>
    </row>
    <row r="331" spans="1:21" x14ac:dyDescent="0.25">
      <c r="A331" s="4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 s="6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1">
        <v>45319</v>
      </c>
      <c r="R331" s="1">
        <v>45322</v>
      </c>
      <c r="S331" s="14">
        <f>Sales[[#This Row],[DeliveryDate]]-Sales[[#This Row],[OrderDate]]</f>
        <v>3</v>
      </c>
      <c r="T331" s="14" t="str">
        <f>IF(Sales[[#This Row],[Delivery Days]]&lt;=$W$2, "Timely", "Delayed")</f>
        <v>Timely</v>
      </c>
      <c r="U331" t="s">
        <v>2923</v>
      </c>
    </row>
    <row r="332" spans="1:21" x14ac:dyDescent="0.25">
      <c r="A332" s="4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 s="6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1">
        <v>45783</v>
      </c>
      <c r="R332" s="1">
        <v>45787</v>
      </c>
      <c r="S332" s="14">
        <f>Sales[[#This Row],[DeliveryDate]]-Sales[[#This Row],[OrderDate]]</f>
        <v>4</v>
      </c>
      <c r="T332" s="14" t="str">
        <f>IF(Sales[[#This Row],[Delivery Days]]&lt;=$W$2, "Timely", "Delayed")</f>
        <v>Timely</v>
      </c>
      <c r="U332" t="s">
        <v>2923</v>
      </c>
    </row>
    <row r="333" spans="1:21" x14ac:dyDescent="0.25">
      <c r="A333" s="4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 s="6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1">
        <v>45548</v>
      </c>
      <c r="R333" s="1">
        <v>45550</v>
      </c>
      <c r="S333" s="14">
        <f>Sales[[#This Row],[DeliveryDate]]-Sales[[#This Row],[OrderDate]]</f>
        <v>2</v>
      </c>
      <c r="T333" s="14" t="str">
        <f>IF(Sales[[#This Row],[Delivery Days]]&lt;=$W$2, "Timely", "Delayed")</f>
        <v>Timely</v>
      </c>
      <c r="U333" t="s">
        <v>2922</v>
      </c>
    </row>
    <row r="334" spans="1:21" x14ac:dyDescent="0.25">
      <c r="A334" s="4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 s="6">
        <v>2469.402</v>
      </c>
      <c r="K334" t="s">
        <v>44</v>
      </c>
      <c r="L334" t="s">
        <v>2941</v>
      </c>
      <c r="M334">
        <v>1</v>
      </c>
      <c r="N334" t="s">
        <v>383</v>
      </c>
      <c r="O334" t="s">
        <v>1877</v>
      </c>
      <c r="P334">
        <v>19.579999999999998</v>
      </c>
      <c r="Q334" s="1">
        <v>45071</v>
      </c>
      <c r="R334" s="1">
        <v>45075</v>
      </c>
      <c r="S334" s="14">
        <f>Sales[[#This Row],[DeliveryDate]]-Sales[[#This Row],[OrderDate]]</f>
        <v>4</v>
      </c>
      <c r="T334" s="14" t="str">
        <f>IF(Sales[[#This Row],[Delivery Days]]&lt;=$W$2, "Timely", "Delayed")</f>
        <v>Timely</v>
      </c>
      <c r="U334" t="s">
        <v>2922</v>
      </c>
    </row>
    <row r="335" spans="1:21" x14ac:dyDescent="0.25">
      <c r="A335" s="4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 s="6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1">
        <v>45561</v>
      </c>
      <c r="R335" s="1">
        <v>45566</v>
      </c>
      <c r="S335" s="14">
        <f>Sales[[#This Row],[DeliveryDate]]-Sales[[#This Row],[OrderDate]]</f>
        <v>5</v>
      </c>
      <c r="T335" s="14" t="str">
        <f>IF(Sales[[#This Row],[Delivery Days]]&lt;=$W$2, "Timely", "Delayed")</f>
        <v>Timely</v>
      </c>
      <c r="U335" t="s">
        <v>2923</v>
      </c>
    </row>
    <row r="336" spans="1:21" x14ac:dyDescent="0.25">
      <c r="A336" s="4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 s="6">
        <v>1207.6400000000001</v>
      </c>
      <c r="K336" t="s">
        <v>43</v>
      </c>
      <c r="L336" t="s">
        <v>2941</v>
      </c>
      <c r="M336">
        <v>0</v>
      </c>
      <c r="N336" t="s">
        <v>385</v>
      </c>
      <c r="O336" t="s">
        <v>1879</v>
      </c>
      <c r="P336">
        <v>9.9700000000000006</v>
      </c>
      <c r="Q336" s="1">
        <v>44970</v>
      </c>
      <c r="R336" s="1">
        <v>44975</v>
      </c>
      <c r="S336" s="14">
        <f>Sales[[#This Row],[DeliveryDate]]-Sales[[#This Row],[OrderDate]]</f>
        <v>5</v>
      </c>
      <c r="T336" s="14" t="str">
        <f>IF(Sales[[#This Row],[Delivery Days]]&lt;=$W$2, "Timely", "Delayed")</f>
        <v>Timely</v>
      </c>
      <c r="U336" t="s">
        <v>2923</v>
      </c>
    </row>
    <row r="337" spans="1:21" x14ac:dyDescent="0.25">
      <c r="A337" s="4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 s="6">
        <v>1945.575</v>
      </c>
      <c r="K337" t="s">
        <v>44</v>
      </c>
      <c r="L337" t="s">
        <v>2941</v>
      </c>
      <c r="M337">
        <v>1</v>
      </c>
      <c r="N337" t="s">
        <v>386</v>
      </c>
      <c r="O337" t="s">
        <v>1880</v>
      </c>
      <c r="P337">
        <v>41.48</v>
      </c>
      <c r="Q337" s="1">
        <v>45463</v>
      </c>
      <c r="R337" s="1">
        <v>45470</v>
      </c>
      <c r="S337" s="14">
        <f>Sales[[#This Row],[DeliveryDate]]-Sales[[#This Row],[OrderDate]]</f>
        <v>7</v>
      </c>
      <c r="T337" s="14" t="str">
        <f>IF(Sales[[#This Row],[Delivery Days]]&lt;=$W$2, "Timely", "Delayed")</f>
        <v>Delayed</v>
      </c>
      <c r="U337" t="s">
        <v>2925</v>
      </c>
    </row>
    <row r="338" spans="1:21" x14ac:dyDescent="0.25">
      <c r="A338" s="4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 s="6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1">
        <v>45373</v>
      </c>
      <c r="R338" s="1">
        <v>45376</v>
      </c>
      <c r="S338" s="14">
        <f>Sales[[#This Row],[DeliveryDate]]-Sales[[#This Row],[OrderDate]]</f>
        <v>3</v>
      </c>
      <c r="T338" s="14" t="str">
        <f>IF(Sales[[#This Row],[Delivery Days]]&lt;=$W$2, "Timely", "Delayed")</f>
        <v>Timely</v>
      </c>
      <c r="U338" t="s">
        <v>2926</v>
      </c>
    </row>
    <row r="339" spans="1:21" x14ac:dyDescent="0.25">
      <c r="A339" s="4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 s="6">
        <v>1497.375</v>
      </c>
      <c r="K339" t="s">
        <v>45</v>
      </c>
      <c r="L339" t="s">
        <v>2941</v>
      </c>
      <c r="M339">
        <v>1</v>
      </c>
      <c r="N339" t="s">
        <v>388</v>
      </c>
      <c r="O339" t="s">
        <v>1882</v>
      </c>
      <c r="P339">
        <v>22.65</v>
      </c>
      <c r="Q339" s="1">
        <v>45330</v>
      </c>
      <c r="R339" s="1">
        <v>45333</v>
      </c>
      <c r="S339" s="14">
        <f>Sales[[#This Row],[DeliveryDate]]-Sales[[#This Row],[OrderDate]]</f>
        <v>3</v>
      </c>
      <c r="T339" s="14" t="str">
        <f>IF(Sales[[#This Row],[Delivery Days]]&lt;=$W$2, "Timely", "Delayed")</f>
        <v>Timely</v>
      </c>
      <c r="U339" t="s">
        <v>2926</v>
      </c>
    </row>
    <row r="340" spans="1:21" x14ac:dyDescent="0.25">
      <c r="A340" s="4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 s="6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1">
        <v>45444</v>
      </c>
      <c r="R340" s="1">
        <v>45447</v>
      </c>
      <c r="S340" s="14">
        <f>Sales[[#This Row],[DeliveryDate]]-Sales[[#This Row],[OrderDate]]</f>
        <v>3</v>
      </c>
      <c r="T340" s="14" t="str">
        <f>IF(Sales[[#This Row],[Delivery Days]]&lt;=$W$2, "Timely", "Delayed")</f>
        <v>Timely</v>
      </c>
      <c r="U340" t="s">
        <v>2922</v>
      </c>
    </row>
    <row r="341" spans="1:21" x14ac:dyDescent="0.25">
      <c r="A341" s="4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 s="6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1">
        <v>45438</v>
      </c>
      <c r="R341" s="1">
        <v>45444</v>
      </c>
      <c r="S341" s="14">
        <f>Sales[[#This Row],[DeliveryDate]]-Sales[[#This Row],[OrderDate]]</f>
        <v>6</v>
      </c>
      <c r="T341" s="14" t="str">
        <f>IF(Sales[[#This Row],[Delivery Days]]&lt;=$W$2, "Timely", "Delayed")</f>
        <v>Timely</v>
      </c>
      <c r="U341" t="s">
        <v>2924</v>
      </c>
    </row>
    <row r="342" spans="1:21" x14ac:dyDescent="0.25">
      <c r="A342" s="4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 s="6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1">
        <v>45468</v>
      </c>
      <c r="R342" s="1">
        <v>45473</v>
      </c>
      <c r="S342" s="14">
        <f>Sales[[#This Row],[DeliveryDate]]-Sales[[#This Row],[OrderDate]]</f>
        <v>5</v>
      </c>
      <c r="T342" s="14" t="str">
        <f>IF(Sales[[#This Row],[Delivery Days]]&lt;=$W$2, "Timely", "Delayed")</f>
        <v>Timely</v>
      </c>
      <c r="U342" t="s">
        <v>2922</v>
      </c>
    </row>
    <row r="343" spans="1:21" x14ac:dyDescent="0.25">
      <c r="A343" s="4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 s="6">
        <v>8618.112000000001</v>
      </c>
      <c r="K343" t="s">
        <v>47</v>
      </c>
      <c r="L343" t="s">
        <v>2941</v>
      </c>
      <c r="M343">
        <v>0</v>
      </c>
      <c r="N343" t="s">
        <v>392</v>
      </c>
      <c r="O343" t="s">
        <v>1885</v>
      </c>
      <c r="P343">
        <v>47.86</v>
      </c>
      <c r="Q343" s="1">
        <v>45320</v>
      </c>
      <c r="R343" s="1">
        <v>45329</v>
      </c>
      <c r="S343" s="14">
        <f>Sales[[#This Row],[DeliveryDate]]-Sales[[#This Row],[OrderDate]]</f>
        <v>9</v>
      </c>
      <c r="T343" s="14" t="str">
        <f>IF(Sales[[#This Row],[Delivery Days]]&lt;=$W$2, "Timely", "Delayed")</f>
        <v>Delayed</v>
      </c>
      <c r="U343" t="s">
        <v>2925</v>
      </c>
    </row>
    <row r="344" spans="1:21" x14ac:dyDescent="0.25">
      <c r="A344" s="4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 s="6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1">
        <v>45633</v>
      </c>
      <c r="R344" s="1">
        <v>45635</v>
      </c>
      <c r="S344" s="14">
        <f>Sales[[#This Row],[DeliveryDate]]-Sales[[#This Row],[OrderDate]]</f>
        <v>2</v>
      </c>
      <c r="T344" s="14" t="str">
        <f>IF(Sales[[#This Row],[Delivery Days]]&lt;=$W$2, "Timely", "Delayed")</f>
        <v>Timely</v>
      </c>
      <c r="U344" t="s">
        <v>2923</v>
      </c>
    </row>
    <row r="345" spans="1:21" x14ac:dyDescent="0.25">
      <c r="A345" s="4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 s="6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1">
        <v>45251</v>
      </c>
      <c r="R345" s="1">
        <v>45256</v>
      </c>
      <c r="S345" s="14">
        <f>Sales[[#This Row],[DeliveryDate]]-Sales[[#This Row],[OrderDate]]</f>
        <v>5</v>
      </c>
      <c r="T345" s="14" t="str">
        <f>IF(Sales[[#This Row],[Delivery Days]]&lt;=$W$2, "Timely", "Delayed")</f>
        <v>Timely</v>
      </c>
      <c r="U345" t="s">
        <v>2926</v>
      </c>
    </row>
    <row r="346" spans="1:21" x14ac:dyDescent="0.25">
      <c r="A346" s="4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 s="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1">
        <v>45642</v>
      </c>
      <c r="R346" s="1">
        <v>45650</v>
      </c>
      <c r="S346" s="14">
        <f>Sales[[#This Row],[DeliveryDate]]-Sales[[#This Row],[OrderDate]]</f>
        <v>8</v>
      </c>
      <c r="T346" s="14" t="str">
        <f>IF(Sales[[#This Row],[Delivery Days]]&lt;=$W$2, "Timely", "Delayed")</f>
        <v>Delayed</v>
      </c>
      <c r="U346" t="s">
        <v>2924</v>
      </c>
    </row>
    <row r="347" spans="1:21" x14ac:dyDescent="0.25">
      <c r="A347" s="4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 s="6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1">
        <v>45143</v>
      </c>
      <c r="R347" s="1">
        <v>45153</v>
      </c>
      <c r="S347" s="14">
        <f>Sales[[#This Row],[DeliveryDate]]-Sales[[#This Row],[OrderDate]]</f>
        <v>10</v>
      </c>
      <c r="T347" s="14" t="str">
        <f>IF(Sales[[#This Row],[Delivery Days]]&lt;=$W$2, "Timely", "Delayed")</f>
        <v>Delayed</v>
      </c>
      <c r="U347" t="s">
        <v>2925</v>
      </c>
    </row>
    <row r="348" spans="1:21" x14ac:dyDescent="0.25">
      <c r="A348" s="4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 s="6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1">
        <v>45168</v>
      </c>
      <c r="R348" s="1">
        <v>45175</v>
      </c>
      <c r="S348" s="14">
        <f>Sales[[#This Row],[DeliveryDate]]-Sales[[#This Row],[OrderDate]]</f>
        <v>7</v>
      </c>
      <c r="T348" s="14" t="str">
        <f>IF(Sales[[#This Row],[Delivery Days]]&lt;=$W$2, "Timely", "Delayed")</f>
        <v>Delayed</v>
      </c>
      <c r="U348" t="s">
        <v>2925</v>
      </c>
    </row>
    <row r="349" spans="1:21" x14ac:dyDescent="0.25">
      <c r="A349" s="4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 s="6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1">
        <v>45741</v>
      </c>
      <c r="R349" s="1">
        <v>45743</v>
      </c>
      <c r="S349" s="14">
        <f>Sales[[#This Row],[DeliveryDate]]-Sales[[#This Row],[OrderDate]]</f>
        <v>2</v>
      </c>
      <c r="T349" s="14" t="str">
        <f>IF(Sales[[#This Row],[Delivery Days]]&lt;=$W$2, "Timely", "Delayed")</f>
        <v>Timely</v>
      </c>
      <c r="U349" t="s">
        <v>2922</v>
      </c>
    </row>
    <row r="350" spans="1:21" x14ac:dyDescent="0.25">
      <c r="A350" s="4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 s="6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1">
        <v>45639</v>
      </c>
      <c r="R350" s="1">
        <v>45648</v>
      </c>
      <c r="S350" s="14">
        <f>Sales[[#This Row],[DeliveryDate]]-Sales[[#This Row],[OrderDate]]</f>
        <v>9</v>
      </c>
      <c r="T350" s="14" t="str">
        <f>IF(Sales[[#This Row],[Delivery Days]]&lt;=$W$2, "Timely", "Delayed")</f>
        <v>Delayed</v>
      </c>
      <c r="U350" t="s">
        <v>2924</v>
      </c>
    </row>
    <row r="351" spans="1:21" x14ac:dyDescent="0.25">
      <c r="A351" s="4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 s="6">
        <v>729.26</v>
      </c>
      <c r="K351" t="s">
        <v>44</v>
      </c>
      <c r="L351" t="s">
        <v>2941</v>
      </c>
      <c r="M351">
        <v>1</v>
      </c>
      <c r="N351" t="s">
        <v>400</v>
      </c>
      <c r="O351" t="s">
        <v>1893</v>
      </c>
      <c r="P351">
        <v>48.02</v>
      </c>
      <c r="Q351" s="1">
        <v>45176</v>
      </c>
      <c r="R351" s="1">
        <v>45183</v>
      </c>
      <c r="S351" s="14">
        <f>Sales[[#This Row],[DeliveryDate]]-Sales[[#This Row],[OrderDate]]</f>
        <v>7</v>
      </c>
      <c r="T351" s="14" t="str">
        <f>IF(Sales[[#This Row],[Delivery Days]]&lt;=$W$2, "Timely", "Delayed")</f>
        <v>Delayed</v>
      </c>
      <c r="U351" t="s">
        <v>2925</v>
      </c>
    </row>
    <row r="352" spans="1:21" x14ac:dyDescent="0.25">
      <c r="A352" s="4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 s="6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1">
        <v>45272</v>
      </c>
      <c r="R352" s="1">
        <v>45281</v>
      </c>
      <c r="S352" s="14">
        <f>Sales[[#This Row],[DeliveryDate]]-Sales[[#This Row],[OrderDate]]</f>
        <v>9</v>
      </c>
      <c r="T352" s="14" t="str">
        <f>IF(Sales[[#This Row],[Delivery Days]]&lt;=$W$2, "Timely", "Delayed")</f>
        <v>Delayed</v>
      </c>
      <c r="U352" t="s">
        <v>2924</v>
      </c>
    </row>
    <row r="353" spans="1:21" x14ac:dyDescent="0.25">
      <c r="A353" s="4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 s="6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1">
        <v>45407</v>
      </c>
      <c r="R353" s="1">
        <v>45417</v>
      </c>
      <c r="S353" s="14">
        <f>Sales[[#This Row],[DeliveryDate]]-Sales[[#This Row],[OrderDate]]</f>
        <v>10</v>
      </c>
      <c r="T353" s="14" t="str">
        <f>IF(Sales[[#This Row],[Delivery Days]]&lt;=$W$2, "Timely", "Delayed")</f>
        <v>Delayed</v>
      </c>
      <c r="U353" t="s">
        <v>2922</v>
      </c>
    </row>
    <row r="354" spans="1:21" x14ac:dyDescent="0.25">
      <c r="A354" s="4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 s="6">
        <v>2002.6679999999999</v>
      </c>
      <c r="K354" t="s">
        <v>44</v>
      </c>
      <c r="L354" t="s">
        <v>2941</v>
      </c>
      <c r="M354">
        <v>0</v>
      </c>
      <c r="N354" t="s">
        <v>403</v>
      </c>
      <c r="O354" t="s">
        <v>1896</v>
      </c>
      <c r="P354">
        <v>10.46</v>
      </c>
      <c r="Q354" s="1">
        <v>45781</v>
      </c>
      <c r="R354" s="1">
        <v>45784</v>
      </c>
      <c r="S354" s="14">
        <f>Sales[[#This Row],[DeliveryDate]]-Sales[[#This Row],[OrderDate]]</f>
        <v>3</v>
      </c>
      <c r="T354" s="14" t="str">
        <f>IF(Sales[[#This Row],[Delivery Days]]&lt;=$W$2, "Timely", "Delayed")</f>
        <v>Timely</v>
      </c>
      <c r="U354" t="s">
        <v>2924</v>
      </c>
    </row>
    <row r="355" spans="1:21" x14ac:dyDescent="0.25">
      <c r="A355" s="4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 s="6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1">
        <v>45185</v>
      </c>
      <c r="R355" s="1">
        <v>45189</v>
      </c>
      <c r="S355" s="14">
        <f>Sales[[#This Row],[DeliveryDate]]-Sales[[#This Row],[OrderDate]]</f>
        <v>4</v>
      </c>
      <c r="T355" s="14" t="str">
        <f>IF(Sales[[#This Row],[Delivery Days]]&lt;=$W$2, "Timely", "Delayed")</f>
        <v>Timely</v>
      </c>
      <c r="U355" t="s">
        <v>2923</v>
      </c>
    </row>
    <row r="356" spans="1:21" x14ac:dyDescent="0.25">
      <c r="A356" s="4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 s="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1">
        <v>45588</v>
      </c>
      <c r="R356" s="1">
        <v>45591</v>
      </c>
      <c r="S356" s="14">
        <f>Sales[[#This Row],[DeliveryDate]]-Sales[[#This Row],[OrderDate]]</f>
        <v>3</v>
      </c>
      <c r="T356" s="14" t="str">
        <f>IF(Sales[[#This Row],[Delivery Days]]&lt;=$W$2, "Timely", "Delayed")</f>
        <v>Timely</v>
      </c>
      <c r="U356" t="s">
        <v>2926</v>
      </c>
    </row>
    <row r="357" spans="1:21" x14ac:dyDescent="0.25">
      <c r="A357" s="4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 s="6">
        <v>175.5</v>
      </c>
      <c r="K357" t="s">
        <v>47</v>
      </c>
      <c r="L357" t="s">
        <v>2941</v>
      </c>
      <c r="M357">
        <v>1</v>
      </c>
      <c r="N357" t="s">
        <v>406</v>
      </c>
      <c r="O357" t="s">
        <v>1899</v>
      </c>
      <c r="P357">
        <v>46.37</v>
      </c>
      <c r="Q357" s="1">
        <v>45049</v>
      </c>
      <c r="R357" s="1">
        <v>45052</v>
      </c>
      <c r="S357" s="14">
        <f>Sales[[#This Row],[DeliveryDate]]-Sales[[#This Row],[OrderDate]]</f>
        <v>3</v>
      </c>
      <c r="T357" s="14" t="str">
        <f>IF(Sales[[#This Row],[Delivery Days]]&lt;=$W$2, "Timely", "Delayed")</f>
        <v>Timely</v>
      </c>
      <c r="U357" t="s">
        <v>2924</v>
      </c>
    </row>
    <row r="358" spans="1:21" x14ac:dyDescent="0.25">
      <c r="A358" s="4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 s="6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1">
        <v>45734</v>
      </c>
      <c r="R358" s="1">
        <v>45741</v>
      </c>
      <c r="S358" s="14">
        <f>Sales[[#This Row],[DeliveryDate]]-Sales[[#This Row],[OrderDate]]</f>
        <v>7</v>
      </c>
      <c r="T358" s="14" t="str">
        <f>IF(Sales[[#This Row],[Delivery Days]]&lt;=$W$2, "Timely", "Delayed")</f>
        <v>Delayed</v>
      </c>
      <c r="U358" t="s">
        <v>2924</v>
      </c>
    </row>
    <row r="359" spans="1:21" x14ac:dyDescent="0.25">
      <c r="A359" s="4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 s="6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1">
        <v>45163</v>
      </c>
      <c r="R359" s="1">
        <v>45165</v>
      </c>
      <c r="S359" s="14">
        <f>Sales[[#This Row],[DeliveryDate]]-Sales[[#This Row],[OrderDate]]</f>
        <v>2</v>
      </c>
      <c r="T359" s="14" t="str">
        <f>IF(Sales[[#This Row],[Delivery Days]]&lt;=$W$2, "Timely", "Delayed")</f>
        <v>Timely</v>
      </c>
      <c r="U359" t="s">
        <v>2926</v>
      </c>
    </row>
    <row r="360" spans="1:21" x14ac:dyDescent="0.25">
      <c r="A360" s="4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 s="6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1">
        <v>45120</v>
      </c>
      <c r="R360" s="1">
        <v>45124</v>
      </c>
      <c r="S360" s="14">
        <f>Sales[[#This Row],[DeliveryDate]]-Sales[[#This Row],[OrderDate]]</f>
        <v>4</v>
      </c>
      <c r="T360" s="14" t="str">
        <f>IF(Sales[[#This Row],[Delivery Days]]&lt;=$W$2, "Timely", "Delayed")</f>
        <v>Timely</v>
      </c>
      <c r="U360" t="s">
        <v>2924</v>
      </c>
    </row>
    <row r="361" spans="1:21" x14ac:dyDescent="0.25">
      <c r="A361" s="4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 s="6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1">
        <v>45713</v>
      </c>
      <c r="R361" s="1">
        <v>45722</v>
      </c>
      <c r="S361" s="14">
        <f>Sales[[#This Row],[DeliveryDate]]-Sales[[#This Row],[OrderDate]]</f>
        <v>9</v>
      </c>
      <c r="T361" s="14" t="str">
        <f>IF(Sales[[#This Row],[Delivery Days]]&lt;=$W$2, "Timely", "Delayed")</f>
        <v>Delayed</v>
      </c>
      <c r="U361" t="s">
        <v>2924</v>
      </c>
    </row>
    <row r="362" spans="1:21" x14ac:dyDescent="0.25">
      <c r="A362" s="4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 s="6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1">
        <v>45761</v>
      </c>
      <c r="R362" s="1">
        <v>45764</v>
      </c>
      <c r="S362" s="14">
        <f>Sales[[#This Row],[DeliveryDate]]-Sales[[#This Row],[OrderDate]]</f>
        <v>3</v>
      </c>
      <c r="T362" s="14" t="str">
        <f>IF(Sales[[#This Row],[Delivery Days]]&lt;=$W$2, "Timely", "Delayed")</f>
        <v>Timely</v>
      </c>
      <c r="U362" t="s">
        <v>2925</v>
      </c>
    </row>
    <row r="363" spans="1:21" x14ac:dyDescent="0.25">
      <c r="A363" s="4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 s="6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1">
        <v>45823</v>
      </c>
      <c r="R363" s="1">
        <v>45826</v>
      </c>
      <c r="S363" s="14">
        <f>Sales[[#This Row],[DeliveryDate]]-Sales[[#This Row],[OrderDate]]</f>
        <v>3</v>
      </c>
      <c r="T363" s="14" t="str">
        <f>IF(Sales[[#This Row],[Delivery Days]]&lt;=$W$2, "Timely", "Delayed")</f>
        <v>Timely</v>
      </c>
      <c r="U363" t="s">
        <v>2925</v>
      </c>
    </row>
    <row r="364" spans="1:21" x14ac:dyDescent="0.25">
      <c r="A364" s="4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 s="6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1">
        <v>45587</v>
      </c>
      <c r="R364" s="1">
        <v>45592</v>
      </c>
      <c r="S364" s="14">
        <f>Sales[[#This Row],[DeliveryDate]]-Sales[[#This Row],[OrderDate]]</f>
        <v>5</v>
      </c>
      <c r="T364" s="14" t="str">
        <f>IF(Sales[[#This Row],[Delivery Days]]&lt;=$W$2, "Timely", "Delayed")</f>
        <v>Timely</v>
      </c>
      <c r="U364" t="s">
        <v>2924</v>
      </c>
    </row>
    <row r="365" spans="1:21" x14ac:dyDescent="0.25">
      <c r="A365" s="4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 s="6">
        <v>2417.94</v>
      </c>
      <c r="K365" t="s">
        <v>43</v>
      </c>
      <c r="L365" t="s">
        <v>2941</v>
      </c>
      <c r="M365">
        <v>0</v>
      </c>
      <c r="N365" t="s">
        <v>414</v>
      </c>
      <c r="O365" t="s">
        <v>1906</v>
      </c>
      <c r="P365">
        <v>49.79</v>
      </c>
      <c r="Q365" s="1">
        <v>45097</v>
      </c>
      <c r="R365" s="1">
        <v>45102</v>
      </c>
      <c r="S365" s="14">
        <f>Sales[[#This Row],[DeliveryDate]]-Sales[[#This Row],[OrderDate]]</f>
        <v>5</v>
      </c>
      <c r="T365" s="14" t="str">
        <f>IF(Sales[[#This Row],[Delivery Days]]&lt;=$W$2, "Timely", "Delayed")</f>
        <v>Timely</v>
      </c>
      <c r="U365" t="s">
        <v>2923</v>
      </c>
    </row>
    <row r="366" spans="1:21" x14ac:dyDescent="0.25">
      <c r="A366" s="4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 s="6">
        <v>2994.951</v>
      </c>
      <c r="K366" t="s">
        <v>45</v>
      </c>
      <c r="L366" t="s">
        <v>2941</v>
      </c>
      <c r="M366">
        <v>0</v>
      </c>
      <c r="N366" t="s">
        <v>415</v>
      </c>
      <c r="O366" t="s">
        <v>1907</v>
      </c>
      <c r="P366">
        <v>39.28</v>
      </c>
      <c r="Q366" s="1">
        <v>45721</v>
      </c>
      <c r="R366" s="1">
        <v>45727</v>
      </c>
      <c r="S366" s="14">
        <f>Sales[[#This Row],[DeliveryDate]]-Sales[[#This Row],[OrderDate]]</f>
        <v>6</v>
      </c>
      <c r="T366" s="14" t="str">
        <f>IF(Sales[[#This Row],[Delivery Days]]&lt;=$W$2, "Timely", "Delayed")</f>
        <v>Timely</v>
      </c>
      <c r="U366" t="s">
        <v>2923</v>
      </c>
    </row>
    <row r="367" spans="1:21" x14ac:dyDescent="0.25">
      <c r="A367" s="4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 s="6">
        <v>1723.5450000000001</v>
      </c>
      <c r="K367" t="s">
        <v>46</v>
      </c>
      <c r="L367" t="s">
        <v>2941</v>
      </c>
      <c r="M367">
        <v>0</v>
      </c>
      <c r="N367" t="s">
        <v>416</v>
      </c>
      <c r="O367" t="s">
        <v>1908</v>
      </c>
      <c r="P367">
        <v>48.77</v>
      </c>
      <c r="Q367" s="1">
        <v>45227</v>
      </c>
      <c r="R367" s="1">
        <v>45229</v>
      </c>
      <c r="S367" s="14">
        <f>Sales[[#This Row],[DeliveryDate]]-Sales[[#This Row],[OrderDate]]</f>
        <v>2</v>
      </c>
      <c r="T367" s="14" t="str">
        <f>IF(Sales[[#This Row],[Delivery Days]]&lt;=$W$2, "Timely", "Delayed")</f>
        <v>Timely</v>
      </c>
      <c r="U367" t="s">
        <v>2926</v>
      </c>
    </row>
    <row r="368" spans="1:21" x14ac:dyDescent="0.25">
      <c r="A368" s="4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 s="6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1">
        <v>45735</v>
      </c>
      <c r="R368" s="1">
        <v>45742</v>
      </c>
      <c r="S368" s="14">
        <f>Sales[[#This Row],[DeliveryDate]]-Sales[[#This Row],[OrderDate]]</f>
        <v>7</v>
      </c>
      <c r="T368" s="14" t="str">
        <f>IF(Sales[[#This Row],[Delivery Days]]&lt;=$W$2, "Timely", "Delayed")</f>
        <v>Delayed</v>
      </c>
      <c r="U368" t="s">
        <v>2925</v>
      </c>
    </row>
    <row r="369" spans="1:21" x14ac:dyDescent="0.25">
      <c r="A369" s="4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 s="6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1">
        <v>45144</v>
      </c>
      <c r="R369" s="1">
        <v>45146</v>
      </c>
      <c r="S369" s="14">
        <f>Sales[[#This Row],[DeliveryDate]]-Sales[[#This Row],[OrderDate]]</f>
        <v>2</v>
      </c>
      <c r="T369" s="14" t="str">
        <f>IF(Sales[[#This Row],[Delivery Days]]&lt;=$W$2, "Timely", "Delayed")</f>
        <v>Timely</v>
      </c>
      <c r="U369" t="s">
        <v>2926</v>
      </c>
    </row>
    <row r="370" spans="1:21" x14ac:dyDescent="0.25">
      <c r="A370" s="4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 s="6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1">
        <v>45546</v>
      </c>
      <c r="R370" s="1">
        <v>45554</v>
      </c>
      <c r="S370" s="14">
        <f>Sales[[#This Row],[DeliveryDate]]-Sales[[#This Row],[OrderDate]]</f>
        <v>8</v>
      </c>
      <c r="T370" s="14" t="str">
        <f>IF(Sales[[#This Row],[Delivery Days]]&lt;=$W$2, "Timely", "Delayed")</f>
        <v>Delayed</v>
      </c>
      <c r="U370" t="s">
        <v>2925</v>
      </c>
    </row>
    <row r="371" spans="1:21" x14ac:dyDescent="0.25">
      <c r="A371" s="4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 s="6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1">
        <v>45665</v>
      </c>
      <c r="R371" s="1">
        <v>45669</v>
      </c>
      <c r="S371" s="14">
        <f>Sales[[#This Row],[DeliveryDate]]-Sales[[#This Row],[OrderDate]]</f>
        <v>4</v>
      </c>
      <c r="T371" s="14" t="str">
        <f>IF(Sales[[#This Row],[Delivery Days]]&lt;=$W$2, "Timely", "Delayed")</f>
        <v>Timely</v>
      </c>
      <c r="U371" t="s">
        <v>2925</v>
      </c>
    </row>
    <row r="372" spans="1:21" x14ac:dyDescent="0.25">
      <c r="A372" s="4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 s="6">
        <v>447.75</v>
      </c>
      <c r="K372" t="s">
        <v>46</v>
      </c>
      <c r="L372" t="s">
        <v>2941</v>
      </c>
      <c r="M372">
        <v>1</v>
      </c>
      <c r="N372" t="s">
        <v>421</v>
      </c>
      <c r="O372" t="s">
        <v>1913</v>
      </c>
      <c r="P372">
        <v>13.17</v>
      </c>
      <c r="Q372" s="1">
        <v>45516</v>
      </c>
      <c r="R372" s="1">
        <v>45518</v>
      </c>
      <c r="S372" s="14">
        <f>Sales[[#This Row],[DeliveryDate]]-Sales[[#This Row],[OrderDate]]</f>
        <v>2</v>
      </c>
      <c r="T372" s="14" t="str">
        <f>IF(Sales[[#This Row],[Delivery Days]]&lt;=$W$2, "Timely", "Delayed")</f>
        <v>Timely</v>
      </c>
      <c r="U372" t="s">
        <v>2925</v>
      </c>
    </row>
    <row r="373" spans="1:21" x14ac:dyDescent="0.25">
      <c r="A373" s="4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 s="6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1">
        <v>45015</v>
      </c>
      <c r="R373" s="1">
        <v>45020</v>
      </c>
      <c r="S373" s="14">
        <f>Sales[[#This Row],[DeliveryDate]]-Sales[[#This Row],[OrderDate]]</f>
        <v>5</v>
      </c>
      <c r="T373" s="14" t="str">
        <f>IF(Sales[[#This Row],[Delivery Days]]&lt;=$W$2, "Timely", "Delayed")</f>
        <v>Timely</v>
      </c>
      <c r="U373" t="s">
        <v>2924</v>
      </c>
    </row>
    <row r="374" spans="1:21" x14ac:dyDescent="0.25">
      <c r="A374" s="4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 s="6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1">
        <v>44958</v>
      </c>
      <c r="R374" s="1">
        <v>44966</v>
      </c>
      <c r="S374" s="14">
        <f>Sales[[#This Row],[DeliveryDate]]-Sales[[#This Row],[OrderDate]]</f>
        <v>8</v>
      </c>
      <c r="T374" s="14" t="str">
        <f>IF(Sales[[#This Row],[Delivery Days]]&lt;=$W$2, "Timely", "Delayed")</f>
        <v>Delayed</v>
      </c>
      <c r="U374" t="s">
        <v>2925</v>
      </c>
    </row>
    <row r="375" spans="1:21" x14ac:dyDescent="0.25">
      <c r="A375" s="4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 s="6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1">
        <v>45765</v>
      </c>
      <c r="R375" s="1">
        <v>45774</v>
      </c>
      <c r="S375" s="14">
        <f>Sales[[#This Row],[DeliveryDate]]-Sales[[#This Row],[OrderDate]]</f>
        <v>9</v>
      </c>
      <c r="T375" s="14" t="str">
        <f>IF(Sales[[#This Row],[Delivery Days]]&lt;=$W$2, "Timely", "Delayed")</f>
        <v>Delayed</v>
      </c>
      <c r="U375" t="s">
        <v>2924</v>
      </c>
    </row>
    <row r="376" spans="1:21" x14ac:dyDescent="0.25">
      <c r="A376" s="4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 s="6">
        <v>1481.7329999999999</v>
      </c>
      <c r="K376" t="s">
        <v>45</v>
      </c>
      <c r="L376" t="s">
        <v>2941</v>
      </c>
      <c r="M376">
        <v>0</v>
      </c>
      <c r="N376" t="s">
        <v>425</v>
      </c>
      <c r="O376" t="s">
        <v>1916</v>
      </c>
      <c r="P376">
        <v>34.130000000000003</v>
      </c>
      <c r="Q376" s="1">
        <v>45745</v>
      </c>
      <c r="R376" s="1">
        <v>45749</v>
      </c>
      <c r="S376" s="14">
        <f>Sales[[#This Row],[DeliveryDate]]-Sales[[#This Row],[OrderDate]]</f>
        <v>4</v>
      </c>
      <c r="T376" s="14" t="str">
        <f>IF(Sales[[#This Row],[Delivery Days]]&lt;=$W$2, "Timely", "Delayed")</f>
        <v>Timely</v>
      </c>
      <c r="U376" t="s">
        <v>2925</v>
      </c>
    </row>
    <row r="377" spans="1:21" x14ac:dyDescent="0.25">
      <c r="A377" s="4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 s="6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1">
        <v>45407</v>
      </c>
      <c r="R377" s="1">
        <v>45410</v>
      </c>
      <c r="S377" s="14">
        <f>Sales[[#This Row],[DeliveryDate]]-Sales[[#This Row],[OrderDate]]</f>
        <v>3</v>
      </c>
      <c r="T377" s="14" t="str">
        <f>IF(Sales[[#This Row],[Delivery Days]]&lt;=$W$2, "Timely", "Delayed")</f>
        <v>Timely</v>
      </c>
      <c r="U377" t="s">
        <v>2922</v>
      </c>
    </row>
    <row r="378" spans="1:21" x14ac:dyDescent="0.25">
      <c r="A378" s="4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 s="6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1">
        <v>45557</v>
      </c>
      <c r="R378" s="1">
        <v>45562</v>
      </c>
      <c r="S378" s="14">
        <f>Sales[[#This Row],[DeliveryDate]]-Sales[[#This Row],[OrderDate]]</f>
        <v>5</v>
      </c>
      <c r="T378" s="14" t="str">
        <f>IF(Sales[[#This Row],[Delivery Days]]&lt;=$W$2, "Timely", "Delayed")</f>
        <v>Timely</v>
      </c>
      <c r="U378" t="s">
        <v>2923</v>
      </c>
    </row>
    <row r="379" spans="1:21" x14ac:dyDescent="0.25">
      <c r="A379" s="4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 s="6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1">
        <v>45143</v>
      </c>
      <c r="R379" s="1">
        <v>45152</v>
      </c>
      <c r="S379" s="14">
        <f>Sales[[#This Row],[DeliveryDate]]-Sales[[#This Row],[OrderDate]]</f>
        <v>9</v>
      </c>
      <c r="T379" s="14" t="str">
        <f>IF(Sales[[#This Row],[Delivery Days]]&lt;=$W$2, "Timely", "Delayed")</f>
        <v>Delayed</v>
      </c>
      <c r="U379" t="s">
        <v>2925</v>
      </c>
    </row>
    <row r="380" spans="1:21" x14ac:dyDescent="0.25">
      <c r="A380" s="4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 s="6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1">
        <v>45450</v>
      </c>
      <c r="R380" s="1">
        <v>45454</v>
      </c>
      <c r="S380" s="14">
        <f>Sales[[#This Row],[DeliveryDate]]-Sales[[#This Row],[OrderDate]]</f>
        <v>4</v>
      </c>
      <c r="T380" s="14" t="str">
        <f>IF(Sales[[#This Row],[Delivery Days]]&lt;=$W$2, "Timely", "Delayed")</f>
        <v>Timely</v>
      </c>
      <c r="U380" t="s">
        <v>2923</v>
      </c>
    </row>
    <row r="381" spans="1:21" x14ac:dyDescent="0.25">
      <c r="A381" s="4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 s="6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1">
        <v>45801</v>
      </c>
      <c r="R381" s="1">
        <v>45807</v>
      </c>
      <c r="S381" s="14">
        <f>Sales[[#This Row],[DeliveryDate]]-Sales[[#This Row],[OrderDate]]</f>
        <v>6</v>
      </c>
      <c r="T381" s="14" t="str">
        <f>IF(Sales[[#This Row],[Delivery Days]]&lt;=$W$2, "Timely", "Delayed")</f>
        <v>Timely</v>
      </c>
      <c r="U381" t="s">
        <v>2922</v>
      </c>
    </row>
    <row r="382" spans="1:21" x14ac:dyDescent="0.25">
      <c r="A382" s="4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 s="6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1">
        <v>45491</v>
      </c>
      <c r="R382" s="1">
        <v>45498</v>
      </c>
      <c r="S382" s="14">
        <f>Sales[[#This Row],[DeliveryDate]]-Sales[[#This Row],[OrderDate]]</f>
        <v>7</v>
      </c>
      <c r="T382" s="14" t="str">
        <f>IF(Sales[[#This Row],[Delivery Days]]&lt;=$W$2, "Timely", "Delayed")</f>
        <v>Delayed</v>
      </c>
      <c r="U382" t="s">
        <v>2923</v>
      </c>
    </row>
    <row r="383" spans="1:21" x14ac:dyDescent="0.25">
      <c r="A383" s="4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 s="6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1">
        <v>45487</v>
      </c>
      <c r="R383" s="1">
        <v>45489</v>
      </c>
      <c r="S383" s="14">
        <f>Sales[[#This Row],[DeliveryDate]]-Sales[[#This Row],[OrderDate]]</f>
        <v>2</v>
      </c>
      <c r="T383" s="14" t="str">
        <f>IF(Sales[[#This Row],[Delivery Days]]&lt;=$W$2, "Timely", "Delayed")</f>
        <v>Timely</v>
      </c>
      <c r="U383" t="s">
        <v>2926</v>
      </c>
    </row>
    <row r="384" spans="1:21" x14ac:dyDescent="0.25">
      <c r="A384" s="4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 s="6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1">
        <v>45030</v>
      </c>
      <c r="R384" s="1">
        <v>45035</v>
      </c>
      <c r="S384" s="14">
        <f>Sales[[#This Row],[DeliveryDate]]-Sales[[#This Row],[OrderDate]]</f>
        <v>5</v>
      </c>
      <c r="T384" s="14" t="str">
        <f>IF(Sales[[#This Row],[Delivery Days]]&lt;=$W$2, "Timely", "Delayed")</f>
        <v>Timely</v>
      </c>
      <c r="U384" t="s">
        <v>2925</v>
      </c>
    </row>
    <row r="385" spans="1:21" x14ac:dyDescent="0.25">
      <c r="A385" s="4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 s="6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1">
        <v>45078</v>
      </c>
      <c r="R385" s="1">
        <v>45083</v>
      </c>
      <c r="S385" s="14">
        <f>Sales[[#This Row],[DeliveryDate]]-Sales[[#This Row],[OrderDate]]</f>
        <v>5</v>
      </c>
      <c r="T385" s="14" t="str">
        <f>IF(Sales[[#This Row],[Delivery Days]]&lt;=$W$2, "Timely", "Delayed")</f>
        <v>Timely</v>
      </c>
      <c r="U385" t="s">
        <v>2923</v>
      </c>
    </row>
    <row r="386" spans="1:21" x14ac:dyDescent="0.25">
      <c r="A386" s="4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 s="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1">
        <v>45764</v>
      </c>
      <c r="R386" s="1">
        <v>45767</v>
      </c>
      <c r="S386" s="14">
        <f>Sales[[#This Row],[DeliveryDate]]-Sales[[#This Row],[OrderDate]]</f>
        <v>3</v>
      </c>
      <c r="T386" s="14" t="str">
        <f>IF(Sales[[#This Row],[Delivery Days]]&lt;=$W$2, "Timely", "Delayed")</f>
        <v>Timely</v>
      </c>
      <c r="U386" t="s">
        <v>2925</v>
      </c>
    </row>
    <row r="387" spans="1:21" x14ac:dyDescent="0.25">
      <c r="A387" s="4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 s="6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1">
        <v>45747</v>
      </c>
      <c r="R387" s="1">
        <v>45756</v>
      </c>
      <c r="S387" s="14">
        <f>Sales[[#This Row],[DeliveryDate]]-Sales[[#This Row],[OrderDate]]</f>
        <v>9</v>
      </c>
      <c r="T387" s="14" t="str">
        <f>IF(Sales[[#This Row],[Delivery Days]]&lt;=$W$2, "Timely", "Delayed")</f>
        <v>Delayed</v>
      </c>
      <c r="U387" t="s">
        <v>2922</v>
      </c>
    </row>
    <row r="388" spans="1:21" x14ac:dyDescent="0.25">
      <c r="A388" s="4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 s="6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1">
        <v>45488</v>
      </c>
      <c r="R388" s="1">
        <v>45495</v>
      </c>
      <c r="S388" s="14">
        <f>Sales[[#This Row],[DeliveryDate]]-Sales[[#This Row],[OrderDate]]</f>
        <v>7</v>
      </c>
      <c r="T388" s="14" t="str">
        <f>IF(Sales[[#This Row],[Delivery Days]]&lt;=$W$2, "Timely", "Delayed")</f>
        <v>Delayed</v>
      </c>
      <c r="U388" t="s">
        <v>2922</v>
      </c>
    </row>
    <row r="389" spans="1:21" x14ac:dyDescent="0.25">
      <c r="A389" s="4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 s="6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1">
        <v>45534</v>
      </c>
      <c r="R389" s="1">
        <v>45536</v>
      </c>
      <c r="S389" s="14">
        <f>Sales[[#This Row],[DeliveryDate]]-Sales[[#This Row],[OrderDate]]</f>
        <v>2</v>
      </c>
      <c r="T389" s="14" t="str">
        <f>IF(Sales[[#This Row],[Delivery Days]]&lt;=$W$2, "Timely", "Delayed")</f>
        <v>Timely</v>
      </c>
      <c r="U389" t="s">
        <v>2923</v>
      </c>
    </row>
    <row r="390" spans="1:21" x14ac:dyDescent="0.25">
      <c r="A390" s="4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 s="6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1">
        <v>45664</v>
      </c>
      <c r="R390" s="1">
        <v>45667</v>
      </c>
      <c r="S390" s="14">
        <f>Sales[[#This Row],[DeliveryDate]]-Sales[[#This Row],[OrderDate]]</f>
        <v>3</v>
      </c>
      <c r="T390" s="14" t="str">
        <f>IF(Sales[[#This Row],[Delivery Days]]&lt;=$W$2, "Timely", "Delayed")</f>
        <v>Timely</v>
      </c>
      <c r="U390" t="s">
        <v>2925</v>
      </c>
    </row>
    <row r="391" spans="1:21" x14ac:dyDescent="0.25">
      <c r="A391" s="4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 s="6">
        <v>526.83199999999988</v>
      </c>
      <c r="K391" t="s">
        <v>46</v>
      </c>
      <c r="L391" t="s">
        <v>2941</v>
      </c>
      <c r="M391">
        <v>0</v>
      </c>
      <c r="N391" t="s">
        <v>440</v>
      </c>
      <c r="O391" t="s">
        <v>1931</v>
      </c>
      <c r="P391">
        <v>49.9</v>
      </c>
      <c r="Q391" s="1">
        <v>45693</v>
      </c>
      <c r="R391" s="1">
        <v>45699</v>
      </c>
      <c r="S391" s="14">
        <f>Sales[[#This Row],[DeliveryDate]]-Sales[[#This Row],[OrderDate]]</f>
        <v>6</v>
      </c>
      <c r="T391" s="14" t="str">
        <f>IF(Sales[[#This Row],[Delivery Days]]&lt;=$W$2, "Timely", "Delayed")</f>
        <v>Timely</v>
      </c>
      <c r="U391" t="s">
        <v>2923</v>
      </c>
    </row>
    <row r="392" spans="1:21" x14ac:dyDescent="0.25">
      <c r="A392" s="4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 s="6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1">
        <v>45383</v>
      </c>
      <c r="R392" s="1">
        <v>45386</v>
      </c>
      <c r="S392" s="14">
        <f>Sales[[#This Row],[DeliveryDate]]-Sales[[#This Row],[OrderDate]]</f>
        <v>3</v>
      </c>
      <c r="T392" s="14" t="str">
        <f>IF(Sales[[#This Row],[Delivery Days]]&lt;=$W$2, "Timely", "Delayed")</f>
        <v>Timely</v>
      </c>
      <c r="U392" t="s">
        <v>2924</v>
      </c>
    </row>
    <row r="393" spans="1:21" x14ac:dyDescent="0.25">
      <c r="A393" s="4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 s="6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1">
        <v>45717</v>
      </c>
      <c r="R393" s="1">
        <v>45725</v>
      </c>
      <c r="S393" s="14">
        <f>Sales[[#This Row],[DeliveryDate]]-Sales[[#This Row],[OrderDate]]</f>
        <v>8</v>
      </c>
      <c r="T393" s="14" t="str">
        <f>IF(Sales[[#This Row],[Delivery Days]]&lt;=$W$2, "Timely", "Delayed")</f>
        <v>Delayed</v>
      </c>
      <c r="U393" t="s">
        <v>2926</v>
      </c>
    </row>
    <row r="394" spans="1:21" x14ac:dyDescent="0.25">
      <c r="A394" s="4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 s="6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1">
        <v>45110</v>
      </c>
      <c r="R394" s="1">
        <v>45113</v>
      </c>
      <c r="S394" s="14">
        <f>Sales[[#This Row],[DeliveryDate]]-Sales[[#This Row],[OrderDate]]</f>
        <v>3</v>
      </c>
      <c r="T394" s="14" t="str">
        <f>IF(Sales[[#This Row],[Delivery Days]]&lt;=$W$2, "Timely", "Delayed")</f>
        <v>Timely</v>
      </c>
      <c r="U394" t="s">
        <v>2925</v>
      </c>
    </row>
    <row r="395" spans="1:21" x14ac:dyDescent="0.25">
      <c r="A395" s="4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 s="6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1">
        <v>45041</v>
      </c>
      <c r="R395" s="1">
        <v>45047</v>
      </c>
      <c r="S395" s="14">
        <f>Sales[[#This Row],[DeliveryDate]]-Sales[[#This Row],[OrderDate]]</f>
        <v>6</v>
      </c>
      <c r="T395" s="14" t="str">
        <f>IF(Sales[[#This Row],[Delivery Days]]&lt;=$W$2, "Timely", "Delayed")</f>
        <v>Timely</v>
      </c>
      <c r="U395" t="s">
        <v>2925</v>
      </c>
    </row>
    <row r="396" spans="1:21" x14ac:dyDescent="0.25">
      <c r="A396" s="4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 s="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1">
        <v>45756</v>
      </c>
      <c r="R396" s="1">
        <v>45766</v>
      </c>
      <c r="S396" s="14">
        <f>Sales[[#This Row],[DeliveryDate]]-Sales[[#This Row],[OrderDate]]</f>
        <v>10</v>
      </c>
      <c r="T396" s="14" t="str">
        <f>IF(Sales[[#This Row],[Delivery Days]]&lt;=$W$2, "Timely", "Delayed")</f>
        <v>Delayed</v>
      </c>
      <c r="U396" t="s">
        <v>2926</v>
      </c>
    </row>
    <row r="397" spans="1:21" x14ac:dyDescent="0.25">
      <c r="A397" s="4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 s="6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1">
        <v>45235</v>
      </c>
      <c r="R397" s="1">
        <v>45242</v>
      </c>
      <c r="S397" s="14">
        <f>Sales[[#This Row],[DeliveryDate]]-Sales[[#This Row],[OrderDate]]</f>
        <v>7</v>
      </c>
      <c r="T397" s="14" t="str">
        <f>IF(Sales[[#This Row],[Delivery Days]]&lt;=$W$2, "Timely", "Delayed")</f>
        <v>Delayed</v>
      </c>
      <c r="U397" t="s">
        <v>2924</v>
      </c>
    </row>
    <row r="398" spans="1:21" x14ac:dyDescent="0.25">
      <c r="A398" s="4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 s="6">
        <v>2007.09</v>
      </c>
      <c r="K398" t="s">
        <v>47</v>
      </c>
      <c r="L398" t="s">
        <v>2941</v>
      </c>
      <c r="M398">
        <v>1</v>
      </c>
      <c r="N398" t="s">
        <v>447</v>
      </c>
      <c r="O398" t="s">
        <v>1938</v>
      </c>
      <c r="P398">
        <v>11.9</v>
      </c>
      <c r="Q398" s="1">
        <v>44939</v>
      </c>
      <c r="R398" s="1">
        <v>44945</v>
      </c>
      <c r="S398" s="14">
        <f>Sales[[#This Row],[DeliveryDate]]-Sales[[#This Row],[OrderDate]]</f>
        <v>6</v>
      </c>
      <c r="T398" s="14" t="str">
        <f>IF(Sales[[#This Row],[Delivery Days]]&lt;=$W$2, "Timely", "Delayed")</f>
        <v>Timely</v>
      </c>
      <c r="U398" t="s">
        <v>2922</v>
      </c>
    </row>
    <row r="399" spans="1:21" x14ac:dyDescent="0.25">
      <c r="A399" s="4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 s="6">
        <v>3473.7289999999998</v>
      </c>
      <c r="K399" t="s">
        <v>45</v>
      </c>
      <c r="L399" t="s">
        <v>2941</v>
      </c>
      <c r="M399">
        <v>0</v>
      </c>
      <c r="N399" t="s">
        <v>448</v>
      </c>
      <c r="O399" t="s">
        <v>1939</v>
      </c>
      <c r="P399">
        <v>27.51</v>
      </c>
      <c r="Q399" s="1">
        <v>45694</v>
      </c>
      <c r="R399" s="1">
        <v>45698</v>
      </c>
      <c r="S399" s="14">
        <f>Sales[[#This Row],[DeliveryDate]]-Sales[[#This Row],[OrderDate]]</f>
        <v>4</v>
      </c>
      <c r="T399" s="14" t="str">
        <f>IF(Sales[[#This Row],[Delivery Days]]&lt;=$W$2, "Timely", "Delayed")</f>
        <v>Timely</v>
      </c>
      <c r="U399" t="s">
        <v>2926</v>
      </c>
    </row>
    <row r="400" spans="1:21" x14ac:dyDescent="0.25">
      <c r="A400" s="4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 s="6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1">
        <v>45066</v>
      </c>
      <c r="R400" s="1">
        <v>45071</v>
      </c>
      <c r="S400" s="14">
        <f>Sales[[#This Row],[DeliveryDate]]-Sales[[#This Row],[OrderDate]]</f>
        <v>5</v>
      </c>
      <c r="T400" s="14" t="str">
        <f>IF(Sales[[#This Row],[Delivery Days]]&lt;=$W$2, "Timely", "Delayed")</f>
        <v>Timely</v>
      </c>
      <c r="U400" t="s">
        <v>2923</v>
      </c>
    </row>
    <row r="401" spans="1:21" x14ac:dyDescent="0.25">
      <c r="A401" s="4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 s="6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1">
        <v>45826</v>
      </c>
      <c r="R401" s="1">
        <v>45832</v>
      </c>
      <c r="S401" s="14">
        <f>Sales[[#This Row],[DeliveryDate]]-Sales[[#This Row],[OrderDate]]</f>
        <v>6</v>
      </c>
      <c r="T401" s="14" t="str">
        <f>IF(Sales[[#This Row],[Delivery Days]]&lt;=$W$2, "Timely", "Delayed")</f>
        <v>Timely</v>
      </c>
      <c r="U401" t="s">
        <v>2922</v>
      </c>
    </row>
    <row r="402" spans="1:21" x14ac:dyDescent="0.25">
      <c r="A402" s="4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 s="6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1">
        <v>44980</v>
      </c>
      <c r="R402" s="1">
        <v>44984</v>
      </c>
      <c r="S402" s="14">
        <f>Sales[[#This Row],[DeliveryDate]]-Sales[[#This Row],[OrderDate]]</f>
        <v>4</v>
      </c>
      <c r="T402" s="14" t="str">
        <f>IF(Sales[[#This Row],[Delivery Days]]&lt;=$W$2, "Timely", "Delayed")</f>
        <v>Timely</v>
      </c>
      <c r="U402" t="s">
        <v>2926</v>
      </c>
    </row>
    <row r="403" spans="1:21" x14ac:dyDescent="0.25">
      <c r="A403" s="4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 s="6">
        <v>5700.45</v>
      </c>
      <c r="K403" t="s">
        <v>43</v>
      </c>
      <c r="L403" t="s">
        <v>2941</v>
      </c>
      <c r="M403">
        <v>0</v>
      </c>
      <c r="N403" t="s">
        <v>452</v>
      </c>
      <c r="O403" t="s">
        <v>1943</v>
      </c>
      <c r="P403">
        <v>25.72</v>
      </c>
      <c r="Q403" s="1">
        <v>45605</v>
      </c>
      <c r="R403" s="1">
        <v>45608</v>
      </c>
      <c r="S403" s="14">
        <f>Sales[[#This Row],[DeliveryDate]]-Sales[[#This Row],[OrderDate]]</f>
        <v>3</v>
      </c>
      <c r="T403" s="14" t="str">
        <f>IF(Sales[[#This Row],[Delivery Days]]&lt;=$W$2, "Timely", "Delayed")</f>
        <v>Timely</v>
      </c>
      <c r="U403" t="s">
        <v>2922</v>
      </c>
    </row>
    <row r="404" spans="1:21" x14ac:dyDescent="0.25">
      <c r="A404" s="4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 s="6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1">
        <v>45498</v>
      </c>
      <c r="R404" s="1">
        <v>45504</v>
      </c>
      <c r="S404" s="14">
        <f>Sales[[#This Row],[DeliveryDate]]-Sales[[#This Row],[OrderDate]]</f>
        <v>6</v>
      </c>
      <c r="T404" s="14" t="str">
        <f>IF(Sales[[#This Row],[Delivery Days]]&lt;=$W$2, "Timely", "Delayed")</f>
        <v>Timely</v>
      </c>
      <c r="U404" t="s">
        <v>2923</v>
      </c>
    </row>
    <row r="405" spans="1:21" x14ac:dyDescent="0.25">
      <c r="A405" s="4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 s="6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1">
        <v>45157</v>
      </c>
      <c r="R405" s="1">
        <v>45161</v>
      </c>
      <c r="S405" s="14">
        <f>Sales[[#This Row],[DeliveryDate]]-Sales[[#This Row],[OrderDate]]</f>
        <v>4</v>
      </c>
      <c r="T405" s="14" t="str">
        <f>IF(Sales[[#This Row],[Delivery Days]]&lt;=$W$2, "Timely", "Delayed")</f>
        <v>Timely</v>
      </c>
      <c r="U405" t="s">
        <v>2926</v>
      </c>
    </row>
    <row r="406" spans="1:21" x14ac:dyDescent="0.25">
      <c r="A406" s="4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 s="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1">
        <v>45243</v>
      </c>
      <c r="R406" s="1">
        <v>45245</v>
      </c>
      <c r="S406" s="14">
        <f>Sales[[#This Row],[DeliveryDate]]-Sales[[#This Row],[OrderDate]]</f>
        <v>2</v>
      </c>
      <c r="T406" s="14" t="str">
        <f>IF(Sales[[#This Row],[Delivery Days]]&lt;=$W$2, "Timely", "Delayed")</f>
        <v>Timely</v>
      </c>
      <c r="U406" t="s">
        <v>2923</v>
      </c>
    </row>
    <row r="407" spans="1:21" x14ac:dyDescent="0.25">
      <c r="A407" s="4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 s="6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1">
        <v>45545</v>
      </c>
      <c r="R407" s="1">
        <v>45553</v>
      </c>
      <c r="S407" s="14">
        <f>Sales[[#This Row],[DeliveryDate]]-Sales[[#This Row],[OrderDate]]</f>
        <v>8</v>
      </c>
      <c r="T407" s="14" t="str">
        <f>IF(Sales[[#This Row],[Delivery Days]]&lt;=$W$2, "Timely", "Delayed")</f>
        <v>Delayed</v>
      </c>
      <c r="U407" t="s">
        <v>2926</v>
      </c>
    </row>
    <row r="408" spans="1:21" x14ac:dyDescent="0.25">
      <c r="A408" s="4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 s="6">
        <v>7377.5</v>
      </c>
      <c r="K408" t="s">
        <v>45</v>
      </c>
      <c r="L408" t="s">
        <v>2941</v>
      </c>
      <c r="M408">
        <v>0</v>
      </c>
      <c r="N408" t="s">
        <v>457</v>
      </c>
      <c r="O408" t="s">
        <v>1948</v>
      </c>
      <c r="P408">
        <v>28.41</v>
      </c>
      <c r="Q408" s="1">
        <v>45534</v>
      </c>
      <c r="R408" s="1">
        <v>45537</v>
      </c>
      <c r="S408" s="14">
        <f>Sales[[#This Row],[DeliveryDate]]-Sales[[#This Row],[OrderDate]]</f>
        <v>3</v>
      </c>
      <c r="T408" s="14" t="str">
        <f>IF(Sales[[#This Row],[Delivery Days]]&lt;=$W$2, "Timely", "Delayed")</f>
        <v>Timely</v>
      </c>
      <c r="U408" t="s">
        <v>2925</v>
      </c>
    </row>
    <row r="409" spans="1:21" x14ac:dyDescent="0.25">
      <c r="A409" s="4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 s="6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1">
        <v>45606</v>
      </c>
      <c r="R409" s="1">
        <v>45613</v>
      </c>
      <c r="S409" s="14">
        <f>Sales[[#This Row],[DeliveryDate]]-Sales[[#This Row],[OrderDate]]</f>
        <v>7</v>
      </c>
      <c r="T409" s="14" t="str">
        <f>IF(Sales[[#This Row],[Delivery Days]]&lt;=$W$2, "Timely", "Delayed")</f>
        <v>Delayed</v>
      </c>
      <c r="U409" t="s">
        <v>2922</v>
      </c>
    </row>
    <row r="410" spans="1:21" x14ac:dyDescent="0.25">
      <c r="A410" s="4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 s="6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1">
        <v>45029</v>
      </c>
      <c r="R410" s="1">
        <v>45035</v>
      </c>
      <c r="S410" s="14">
        <f>Sales[[#This Row],[DeliveryDate]]-Sales[[#This Row],[OrderDate]]</f>
        <v>6</v>
      </c>
      <c r="T410" s="14" t="str">
        <f>IF(Sales[[#This Row],[Delivery Days]]&lt;=$W$2, "Timely", "Delayed")</f>
        <v>Timely</v>
      </c>
      <c r="U410" t="s">
        <v>2922</v>
      </c>
    </row>
    <row r="411" spans="1:21" x14ac:dyDescent="0.25">
      <c r="A411" s="4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 s="6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1">
        <v>45250</v>
      </c>
      <c r="R411" s="1">
        <v>45257</v>
      </c>
      <c r="S411" s="14">
        <f>Sales[[#This Row],[DeliveryDate]]-Sales[[#This Row],[OrderDate]]</f>
        <v>7</v>
      </c>
      <c r="T411" s="14" t="str">
        <f>IF(Sales[[#This Row],[Delivery Days]]&lt;=$W$2, "Timely", "Delayed")</f>
        <v>Delayed</v>
      </c>
      <c r="U411" t="s">
        <v>2922</v>
      </c>
    </row>
    <row r="412" spans="1:21" x14ac:dyDescent="0.25">
      <c r="A412" s="4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 s="6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1">
        <v>45761</v>
      </c>
      <c r="R412" s="1">
        <v>45766</v>
      </c>
      <c r="S412" s="14">
        <f>Sales[[#This Row],[DeliveryDate]]-Sales[[#This Row],[OrderDate]]</f>
        <v>5</v>
      </c>
      <c r="T412" s="14" t="str">
        <f>IF(Sales[[#This Row],[Delivery Days]]&lt;=$W$2, "Timely", "Delayed")</f>
        <v>Timely</v>
      </c>
      <c r="U412" t="s">
        <v>2924</v>
      </c>
    </row>
    <row r="413" spans="1:21" x14ac:dyDescent="0.25">
      <c r="A413" s="4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 s="6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1">
        <v>44989</v>
      </c>
      <c r="R413" s="1">
        <v>44994</v>
      </c>
      <c r="S413" s="14">
        <f>Sales[[#This Row],[DeliveryDate]]-Sales[[#This Row],[OrderDate]]</f>
        <v>5</v>
      </c>
      <c r="T413" s="14" t="str">
        <f>IF(Sales[[#This Row],[Delivery Days]]&lt;=$W$2, "Timely", "Delayed")</f>
        <v>Timely</v>
      </c>
      <c r="U413" t="s">
        <v>2925</v>
      </c>
    </row>
    <row r="414" spans="1:21" x14ac:dyDescent="0.25">
      <c r="A414" s="4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 s="6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1">
        <v>45612</v>
      </c>
      <c r="R414" s="1">
        <v>45615</v>
      </c>
      <c r="S414" s="14">
        <f>Sales[[#This Row],[DeliveryDate]]-Sales[[#This Row],[OrderDate]]</f>
        <v>3</v>
      </c>
      <c r="T414" s="14" t="str">
        <f>IF(Sales[[#This Row],[Delivery Days]]&lt;=$W$2, "Timely", "Delayed")</f>
        <v>Timely</v>
      </c>
      <c r="U414" t="s">
        <v>2924</v>
      </c>
    </row>
    <row r="415" spans="1:21" x14ac:dyDescent="0.25">
      <c r="A415" s="4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 s="6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1">
        <v>45437</v>
      </c>
      <c r="R415" s="1">
        <v>45445</v>
      </c>
      <c r="S415" s="14">
        <f>Sales[[#This Row],[DeliveryDate]]-Sales[[#This Row],[OrderDate]]</f>
        <v>8</v>
      </c>
      <c r="T415" s="14" t="str">
        <f>IF(Sales[[#This Row],[Delivery Days]]&lt;=$W$2, "Timely", "Delayed")</f>
        <v>Delayed</v>
      </c>
      <c r="U415" t="s">
        <v>2923</v>
      </c>
    </row>
    <row r="416" spans="1:21" x14ac:dyDescent="0.25">
      <c r="A416" s="4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 s="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1">
        <v>45028</v>
      </c>
      <c r="R416" s="1">
        <v>45031</v>
      </c>
      <c r="S416" s="14">
        <f>Sales[[#This Row],[DeliveryDate]]-Sales[[#This Row],[OrderDate]]</f>
        <v>3</v>
      </c>
      <c r="T416" s="14" t="str">
        <f>IF(Sales[[#This Row],[Delivery Days]]&lt;=$W$2, "Timely", "Delayed")</f>
        <v>Timely</v>
      </c>
      <c r="U416" t="s">
        <v>2922</v>
      </c>
    </row>
    <row r="417" spans="1:21" x14ac:dyDescent="0.25">
      <c r="A417" s="4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 s="6">
        <v>3377.3049999999998</v>
      </c>
      <c r="K417" t="s">
        <v>45</v>
      </c>
      <c r="L417" t="s">
        <v>2941</v>
      </c>
      <c r="M417">
        <v>0</v>
      </c>
      <c r="N417" t="s">
        <v>466</v>
      </c>
      <c r="O417" t="s">
        <v>1955</v>
      </c>
      <c r="P417">
        <v>10.199999999999999</v>
      </c>
      <c r="Q417" s="1">
        <v>44992</v>
      </c>
      <c r="R417" s="1">
        <v>44998</v>
      </c>
      <c r="S417" s="14">
        <f>Sales[[#This Row],[DeliveryDate]]-Sales[[#This Row],[OrderDate]]</f>
        <v>6</v>
      </c>
      <c r="T417" s="14" t="str">
        <f>IF(Sales[[#This Row],[Delivery Days]]&lt;=$W$2, "Timely", "Delayed")</f>
        <v>Timely</v>
      </c>
      <c r="U417" t="s">
        <v>2923</v>
      </c>
    </row>
    <row r="418" spans="1:21" x14ac:dyDescent="0.25">
      <c r="A418" s="4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 s="6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1">
        <v>45296</v>
      </c>
      <c r="R418" s="1">
        <v>45302</v>
      </c>
      <c r="S418" s="14">
        <f>Sales[[#This Row],[DeliveryDate]]-Sales[[#This Row],[OrderDate]]</f>
        <v>6</v>
      </c>
      <c r="T418" s="14" t="str">
        <f>IF(Sales[[#This Row],[Delivery Days]]&lt;=$W$2, "Timely", "Delayed")</f>
        <v>Timely</v>
      </c>
      <c r="U418" t="s">
        <v>2925</v>
      </c>
    </row>
    <row r="419" spans="1:21" x14ac:dyDescent="0.25">
      <c r="A419" s="4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 s="6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1">
        <v>45596</v>
      </c>
      <c r="R419" s="1">
        <v>45606</v>
      </c>
      <c r="S419" s="14">
        <f>Sales[[#This Row],[DeliveryDate]]-Sales[[#This Row],[OrderDate]]</f>
        <v>10</v>
      </c>
      <c r="T419" s="14" t="str">
        <f>IF(Sales[[#This Row],[Delivery Days]]&lt;=$W$2, "Timely", "Delayed")</f>
        <v>Delayed</v>
      </c>
      <c r="U419" t="s">
        <v>2926</v>
      </c>
    </row>
    <row r="420" spans="1:21" x14ac:dyDescent="0.25">
      <c r="A420" s="4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 s="6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1">
        <v>45420</v>
      </c>
      <c r="R420" s="1">
        <v>45426</v>
      </c>
      <c r="S420" s="14">
        <f>Sales[[#This Row],[DeliveryDate]]-Sales[[#This Row],[OrderDate]]</f>
        <v>6</v>
      </c>
      <c r="T420" s="14" t="str">
        <f>IF(Sales[[#This Row],[Delivery Days]]&lt;=$W$2, "Timely", "Delayed")</f>
        <v>Timely</v>
      </c>
      <c r="U420" t="s">
        <v>2926</v>
      </c>
    </row>
    <row r="421" spans="1:21" x14ac:dyDescent="0.25">
      <c r="A421" s="4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 s="6">
        <v>6.9699999999999989</v>
      </c>
      <c r="K421" t="s">
        <v>46</v>
      </c>
      <c r="L421" t="s">
        <v>2941</v>
      </c>
      <c r="M421">
        <v>0</v>
      </c>
      <c r="N421" t="s">
        <v>470</v>
      </c>
      <c r="O421" t="s">
        <v>1959</v>
      </c>
      <c r="P421">
        <v>30.35</v>
      </c>
      <c r="Q421" s="1">
        <v>45356</v>
      </c>
      <c r="R421" s="1">
        <v>45366</v>
      </c>
      <c r="S421" s="14">
        <f>Sales[[#This Row],[DeliveryDate]]-Sales[[#This Row],[OrderDate]]</f>
        <v>10</v>
      </c>
      <c r="T421" s="14" t="str">
        <f>IF(Sales[[#This Row],[Delivery Days]]&lt;=$W$2, "Timely", "Delayed")</f>
        <v>Delayed</v>
      </c>
      <c r="U421" t="s">
        <v>2925</v>
      </c>
    </row>
    <row r="422" spans="1:21" x14ac:dyDescent="0.25">
      <c r="A422" s="4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 s="6">
        <v>4598.424</v>
      </c>
      <c r="K422" t="s">
        <v>43</v>
      </c>
      <c r="L422" t="s">
        <v>2941</v>
      </c>
      <c r="M422">
        <v>1</v>
      </c>
      <c r="N422" t="s">
        <v>471</v>
      </c>
      <c r="O422" t="s">
        <v>1960</v>
      </c>
      <c r="P422">
        <v>25.48</v>
      </c>
      <c r="Q422" s="1">
        <v>45125</v>
      </c>
      <c r="R422" s="1">
        <v>45129</v>
      </c>
      <c r="S422" s="14">
        <f>Sales[[#This Row],[DeliveryDate]]-Sales[[#This Row],[OrderDate]]</f>
        <v>4</v>
      </c>
      <c r="T422" s="14" t="str">
        <f>IF(Sales[[#This Row],[Delivery Days]]&lt;=$W$2, "Timely", "Delayed")</f>
        <v>Timely</v>
      </c>
      <c r="U422" t="s">
        <v>2924</v>
      </c>
    </row>
    <row r="423" spans="1:21" x14ac:dyDescent="0.25">
      <c r="A423" s="4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 s="6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1">
        <v>45143</v>
      </c>
      <c r="R423" s="1">
        <v>45152</v>
      </c>
      <c r="S423" s="14">
        <f>Sales[[#This Row],[DeliveryDate]]-Sales[[#This Row],[OrderDate]]</f>
        <v>9</v>
      </c>
      <c r="T423" s="14" t="str">
        <f>IF(Sales[[#This Row],[Delivery Days]]&lt;=$W$2, "Timely", "Delayed")</f>
        <v>Delayed</v>
      </c>
      <c r="U423" t="s">
        <v>2923</v>
      </c>
    </row>
    <row r="424" spans="1:21" x14ac:dyDescent="0.25">
      <c r="A424" s="4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 s="6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1">
        <v>45187</v>
      </c>
      <c r="R424" s="1">
        <v>45189</v>
      </c>
      <c r="S424" s="14">
        <f>Sales[[#This Row],[DeliveryDate]]-Sales[[#This Row],[OrderDate]]</f>
        <v>2</v>
      </c>
      <c r="T424" s="14" t="str">
        <f>IF(Sales[[#This Row],[Delivery Days]]&lt;=$W$2, "Timely", "Delayed")</f>
        <v>Timely</v>
      </c>
      <c r="U424" t="s">
        <v>2926</v>
      </c>
    </row>
    <row r="425" spans="1:21" x14ac:dyDescent="0.25">
      <c r="A425" s="4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 s="6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1">
        <v>45012</v>
      </c>
      <c r="R425" s="1">
        <v>45014</v>
      </c>
      <c r="S425" s="14">
        <f>Sales[[#This Row],[DeliveryDate]]-Sales[[#This Row],[OrderDate]]</f>
        <v>2</v>
      </c>
      <c r="T425" s="14" t="str">
        <f>IF(Sales[[#This Row],[Delivery Days]]&lt;=$W$2, "Timely", "Delayed")</f>
        <v>Timely</v>
      </c>
      <c r="U425" t="s">
        <v>2923</v>
      </c>
    </row>
    <row r="426" spans="1:21" x14ac:dyDescent="0.25">
      <c r="A426" s="4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 s="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1">
        <v>44993</v>
      </c>
      <c r="R426" s="1">
        <v>45002</v>
      </c>
      <c r="S426" s="14">
        <f>Sales[[#This Row],[DeliveryDate]]-Sales[[#This Row],[OrderDate]]</f>
        <v>9</v>
      </c>
      <c r="T426" s="14" t="str">
        <f>IF(Sales[[#This Row],[Delivery Days]]&lt;=$W$2, "Timely", "Delayed")</f>
        <v>Delayed</v>
      </c>
      <c r="U426" t="s">
        <v>2922</v>
      </c>
    </row>
    <row r="427" spans="1:21" x14ac:dyDescent="0.25">
      <c r="A427" s="4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 s="6">
        <v>1042.0999999999999</v>
      </c>
      <c r="K427" t="s">
        <v>43</v>
      </c>
      <c r="L427" t="s">
        <v>2941</v>
      </c>
      <c r="M427">
        <v>0</v>
      </c>
      <c r="N427" t="s">
        <v>476</v>
      </c>
      <c r="O427" t="s">
        <v>1965</v>
      </c>
      <c r="P427">
        <v>46.37</v>
      </c>
      <c r="Q427" s="1">
        <v>45414</v>
      </c>
      <c r="R427" s="1">
        <v>45418</v>
      </c>
      <c r="S427" s="14">
        <f>Sales[[#This Row],[DeliveryDate]]-Sales[[#This Row],[OrderDate]]</f>
        <v>4</v>
      </c>
      <c r="T427" s="14" t="str">
        <f>IF(Sales[[#This Row],[Delivery Days]]&lt;=$W$2, "Timely", "Delayed")</f>
        <v>Timely</v>
      </c>
      <c r="U427" t="s">
        <v>2926</v>
      </c>
    </row>
    <row r="428" spans="1:21" x14ac:dyDescent="0.25">
      <c r="A428" s="4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 s="6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1">
        <v>45185</v>
      </c>
      <c r="R428" s="1">
        <v>45195</v>
      </c>
      <c r="S428" s="14">
        <f>Sales[[#This Row],[DeliveryDate]]-Sales[[#This Row],[OrderDate]]</f>
        <v>10</v>
      </c>
      <c r="T428" s="14" t="str">
        <f>IF(Sales[[#This Row],[Delivery Days]]&lt;=$W$2, "Timely", "Delayed")</f>
        <v>Delayed</v>
      </c>
      <c r="U428" t="s">
        <v>2924</v>
      </c>
    </row>
    <row r="429" spans="1:21" x14ac:dyDescent="0.25">
      <c r="A429" s="4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 s="6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1">
        <v>45090</v>
      </c>
      <c r="R429" s="1">
        <v>45099</v>
      </c>
      <c r="S429" s="14">
        <f>Sales[[#This Row],[DeliveryDate]]-Sales[[#This Row],[OrderDate]]</f>
        <v>9</v>
      </c>
      <c r="T429" s="14" t="str">
        <f>IF(Sales[[#This Row],[Delivery Days]]&lt;=$W$2, "Timely", "Delayed")</f>
        <v>Delayed</v>
      </c>
      <c r="U429" t="s">
        <v>2923</v>
      </c>
    </row>
    <row r="430" spans="1:21" x14ac:dyDescent="0.25">
      <c r="A430" s="4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 s="6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1">
        <v>45235</v>
      </c>
      <c r="R430" s="1">
        <v>45238</v>
      </c>
      <c r="S430" s="14">
        <f>Sales[[#This Row],[DeliveryDate]]-Sales[[#This Row],[OrderDate]]</f>
        <v>3</v>
      </c>
      <c r="T430" s="14" t="str">
        <f>IF(Sales[[#This Row],[Delivery Days]]&lt;=$W$2, "Timely", "Delayed")</f>
        <v>Timely</v>
      </c>
      <c r="U430" t="s">
        <v>2924</v>
      </c>
    </row>
    <row r="431" spans="1:21" x14ac:dyDescent="0.25">
      <c r="A431" s="4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 s="6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1">
        <v>45619</v>
      </c>
      <c r="R431" s="1">
        <v>45622</v>
      </c>
      <c r="S431" s="14">
        <f>Sales[[#This Row],[DeliveryDate]]-Sales[[#This Row],[OrderDate]]</f>
        <v>3</v>
      </c>
      <c r="T431" s="14" t="str">
        <f>IF(Sales[[#This Row],[Delivery Days]]&lt;=$W$2, "Timely", "Delayed")</f>
        <v>Timely</v>
      </c>
      <c r="U431" t="s">
        <v>2923</v>
      </c>
    </row>
    <row r="432" spans="1:21" x14ac:dyDescent="0.25">
      <c r="A432" s="4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 s="6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1">
        <v>45331</v>
      </c>
      <c r="R432" s="1">
        <v>45340</v>
      </c>
      <c r="S432" s="14">
        <f>Sales[[#This Row],[DeliveryDate]]-Sales[[#This Row],[OrderDate]]</f>
        <v>9</v>
      </c>
      <c r="T432" s="14" t="str">
        <f>IF(Sales[[#This Row],[Delivery Days]]&lt;=$W$2, "Timely", "Delayed")</f>
        <v>Delayed</v>
      </c>
      <c r="U432" t="s">
        <v>2925</v>
      </c>
    </row>
    <row r="433" spans="1:21" x14ac:dyDescent="0.25">
      <c r="A433" s="4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 s="6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1">
        <v>45246</v>
      </c>
      <c r="R433" s="1">
        <v>45252</v>
      </c>
      <c r="S433" s="14">
        <f>Sales[[#This Row],[DeliveryDate]]-Sales[[#This Row],[OrderDate]]</f>
        <v>6</v>
      </c>
      <c r="T433" s="14" t="str">
        <f>IF(Sales[[#This Row],[Delivery Days]]&lt;=$W$2, "Timely", "Delayed")</f>
        <v>Timely</v>
      </c>
      <c r="U433" t="s">
        <v>2925</v>
      </c>
    </row>
    <row r="434" spans="1:21" x14ac:dyDescent="0.25">
      <c r="A434" s="4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 s="6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1">
        <v>45681</v>
      </c>
      <c r="R434" s="1">
        <v>45686</v>
      </c>
      <c r="S434" s="14">
        <f>Sales[[#This Row],[DeliveryDate]]-Sales[[#This Row],[OrderDate]]</f>
        <v>5</v>
      </c>
      <c r="T434" s="14" t="str">
        <f>IF(Sales[[#This Row],[Delivery Days]]&lt;=$W$2, "Timely", "Delayed")</f>
        <v>Timely</v>
      </c>
      <c r="U434" t="s">
        <v>2925</v>
      </c>
    </row>
    <row r="435" spans="1:21" x14ac:dyDescent="0.25">
      <c r="A435" s="4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 s="6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1">
        <v>45783</v>
      </c>
      <c r="R435" s="1">
        <v>45786</v>
      </c>
      <c r="S435" s="14">
        <f>Sales[[#This Row],[DeliveryDate]]-Sales[[#This Row],[OrderDate]]</f>
        <v>3</v>
      </c>
      <c r="T435" s="14" t="str">
        <f>IF(Sales[[#This Row],[Delivery Days]]&lt;=$W$2, "Timely", "Delayed")</f>
        <v>Timely</v>
      </c>
      <c r="U435" t="s">
        <v>2925</v>
      </c>
    </row>
    <row r="436" spans="1:21" x14ac:dyDescent="0.25">
      <c r="A436" s="4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 s="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1">
        <v>45794</v>
      </c>
      <c r="R436" s="1">
        <v>45804</v>
      </c>
      <c r="S436" s="14">
        <f>Sales[[#This Row],[DeliveryDate]]-Sales[[#This Row],[OrderDate]]</f>
        <v>10</v>
      </c>
      <c r="T436" s="14" t="str">
        <f>IF(Sales[[#This Row],[Delivery Days]]&lt;=$W$2, "Timely", "Delayed")</f>
        <v>Delayed</v>
      </c>
      <c r="U436" t="s">
        <v>2922</v>
      </c>
    </row>
    <row r="437" spans="1:21" x14ac:dyDescent="0.25">
      <c r="A437" s="4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 s="6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1">
        <v>45259</v>
      </c>
      <c r="R437" s="1">
        <v>45261</v>
      </c>
      <c r="S437" s="14">
        <f>Sales[[#This Row],[DeliveryDate]]-Sales[[#This Row],[OrderDate]]</f>
        <v>2</v>
      </c>
      <c r="T437" s="14" t="str">
        <f>IF(Sales[[#This Row],[Delivery Days]]&lt;=$W$2, "Timely", "Delayed")</f>
        <v>Timely</v>
      </c>
      <c r="U437" t="s">
        <v>2925</v>
      </c>
    </row>
    <row r="438" spans="1:21" x14ac:dyDescent="0.25">
      <c r="A438" s="4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 s="6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1">
        <v>44981</v>
      </c>
      <c r="R438" s="1">
        <v>44983</v>
      </c>
      <c r="S438" s="14">
        <f>Sales[[#This Row],[DeliveryDate]]-Sales[[#This Row],[OrderDate]]</f>
        <v>2</v>
      </c>
      <c r="T438" s="14" t="str">
        <f>IF(Sales[[#This Row],[Delivery Days]]&lt;=$W$2, "Timely", "Delayed")</f>
        <v>Timely</v>
      </c>
      <c r="U438" t="s">
        <v>2923</v>
      </c>
    </row>
    <row r="439" spans="1:21" x14ac:dyDescent="0.25">
      <c r="A439" s="4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 s="6">
        <v>6522.39</v>
      </c>
      <c r="K439" t="s">
        <v>45</v>
      </c>
      <c r="L439" t="s">
        <v>2941</v>
      </c>
      <c r="M439">
        <v>1</v>
      </c>
      <c r="N439" t="s">
        <v>488</v>
      </c>
      <c r="O439" t="s">
        <v>1977</v>
      </c>
      <c r="P439">
        <v>29.81</v>
      </c>
      <c r="Q439" s="1">
        <v>45234</v>
      </c>
      <c r="R439" s="1">
        <v>45240</v>
      </c>
      <c r="S439" s="14">
        <f>Sales[[#This Row],[DeliveryDate]]-Sales[[#This Row],[OrderDate]]</f>
        <v>6</v>
      </c>
      <c r="T439" s="14" t="str">
        <f>IF(Sales[[#This Row],[Delivery Days]]&lt;=$W$2, "Timely", "Delayed")</f>
        <v>Timely</v>
      </c>
      <c r="U439" t="s">
        <v>2923</v>
      </c>
    </row>
    <row r="440" spans="1:21" x14ac:dyDescent="0.25">
      <c r="A440" s="4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 s="6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1">
        <v>45458</v>
      </c>
      <c r="R440" s="1">
        <v>45465</v>
      </c>
      <c r="S440" s="14">
        <f>Sales[[#This Row],[DeliveryDate]]-Sales[[#This Row],[OrderDate]]</f>
        <v>7</v>
      </c>
      <c r="T440" s="14" t="str">
        <f>IF(Sales[[#This Row],[Delivery Days]]&lt;=$W$2, "Timely", "Delayed")</f>
        <v>Delayed</v>
      </c>
      <c r="U440" t="s">
        <v>2922</v>
      </c>
    </row>
    <row r="441" spans="1:21" x14ac:dyDescent="0.25">
      <c r="A441" s="4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 s="6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1">
        <v>45567</v>
      </c>
      <c r="R441" s="1">
        <v>45571</v>
      </c>
      <c r="S441" s="14">
        <f>Sales[[#This Row],[DeliveryDate]]-Sales[[#This Row],[OrderDate]]</f>
        <v>4</v>
      </c>
      <c r="T441" s="14" t="str">
        <f>IF(Sales[[#This Row],[Delivery Days]]&lt;=$W$2, "Timely", "Delayed")</f>
        <v>Timely</v>
      </c>
      <c r="U441" t="s">
        <v>2924</v>
      </c>
    </row>
    <row r="442" spans="1:21" x14ac:dyDescent="0.25">
      <c r="A442" s="4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 s="6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1">
        <v>45080</v>
      </c>
      <c r="R442" s="1">
        <v>45090</v>
      </c>
      <c r="S442" s="14">
        <f>Sales[[#This Row],[DeliveryDate]]-Sales[[#This Row],[OrderDate]]</f>
        <v>10</v>
      </c>
      <c r="T442" s="14" t="str">
        <f>IF(Sales[[#This Row],[Delivery Days]]&lt;=$W$2, "Timely", "Delayed")</f>
        <v>Delayed</v>
      </c>
      <c r="U442" t="s">
        <v>2926</v>
      </c>
    </row>
    <row r="443" spans="1:21" x14ac:dyDescent="0.25">
      <c r="A443" s="4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 s="6">
        <v>2405.8739999999998</v>
      </c>
      <c r="K443" t="s">
        <v>43</v>
      </c>
      <c r="L443" t="s">
        <v>2941</v>
      </c>
      <c r="M443">
        <v>0</v>
      </c>
      <c r="N443" t="s">
        <v>492</v>
      </c>
      <c r="O443" t="s">
        <v>1981</v>
      </c>
      <c r="P443">
        <v>36.79</v>
      </c>
      <c r="Q443" s="1">
        <v>45179</v>
      </c>
      <c r="R443" s="1">
        <v>45187</v>
      </c>
      <c r="S443" s="14">
        <f>Sales[[#This Row],[DeliveryDate]]-Sales[[#This Row],[OrderDate]]</f>
        <v>8</v>
      </c>
      <c r="T443" s="14" t="str">
        <f>IF(Sales[[#This Row],[Delivery Days]]&lt;=$W$2, "Timely", "Delayed")</f>
        <v>Delayed</v>
      </c>
      <c r="U443" t="s">
        <v>2922</v>
      </c>
    </row>
    <row r="444" spans="1:21" x14ac:dyDescent="0.25">
      <c r="A444" s="4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 s="6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1">
        <v>45797</v>
      </c>
      <c r="R444" s="1">
        <v>45799</v>
      </c>
      <c r="S444" s="14">
        <f>Sales[[#This Row],[DeliveryDate]]-Sales[[#This Row],[OrderDate]]</f>
        <v>2</v>
      </c>
      <c r="T444" s="14" t="str">
        <f>IF(Sales[[#This Row],[Delivery Days]]&lt;=$W$2, "Timely", "Delayed")</f>
        <v>Timely</v>
      </c>
      <c r="U444" t="s">
        <v>2925</v>
      </c>
    </row>
    <row r="445" spans="1:21" x14ac:dyDescent="0.25">
      <c r="A445" s="4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 s="6">
        <v>1355.5619999999999</v>
      </c>
      <c r="K445" t="s">
        <v>47</v>
      </c>
      <c r="L445" t="s">
        <v>2941</v>
      </c>
      <c r="M445">
        <v>1</v>
      </c>
      <c r="N445" t="s">
        <v>494</v>
      </c>
      <c r="O445" t="s">
        <v>1983</v>
      </c>
      <c r="P445">
        <v>28.52</v>
      </c>
      <c r="Q445" s="1">
        <v>45193</v>
      </c>
      <c r="R445" s="1">
        <v>45202</v>
      </c>
      <c r="S445" s="14">
        <f>Sales[[#This Row],[DeliveryDate]]-Sales[[#This Row],[OrderDate]]</f>
        <v>9</v>
      </c>
      <c r="T445" s="14" t="str">
        <f>IF(Sales[[#This Row],[Delivery Days]]&lt;=$W$2, "Timely", "Delayed")</f>
        <v>Delayed</v>
      </c>
      <c r="U445" t="s">
        <v>2924</v>
      </c>
    </row>
    <row r="446" spans="1:21" x14ac:dyDescent="0.25">
      <c r="A446" s="4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 s="6">
        <v>6451.8120000000008</v>
      </c>
      <c r="K446" t="s">
        <v>46</v>
      </c>
      <c r="L446" t="s">
        <v>2941</v>
      </c>
      <c r="M446">
        <v>0</v>
      </c>
      <c r="N446" t="s">
        <v>495</v>
      </c>
      <c r="O446" t="s">
        <v>1984</v>
      </c>
      <c r="P446">
        <v>16.8</v>
      </c>
      <c r="Q446" s="1">
        <v>45745</v>
      </c>
      <c r="R446" s="1">
        <v>45751</v>
      </c>
      <c r="S446" s="14">
        <f>Sales[[#This Row],[DeliveryDate]]-Sales[[#This Row],[OrderDate]]</f>
        <v>6</v>
      </c>
      <c r="T446" s="14" t="str">
        <f>IF(Sales[[#This Row],[Delivery Days]]&lt;=$W$2, "Timely", "Delayed")</f>
        <v>Timely</v>
      </c>
      <c r="U446" t="s">
        <v>2922</v>
      </c>
    </row>
    <row r="447" spans="1:21" x14ac:dyDescent="0.25">
      <c r="A447" s="4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 s="6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1">
        <v>45094</v>
      </c>
      <c r="R447" s="1">
        <v>45102</v>
      </c>
      <c r="S447" s="14">
        <f>Sales[[#This Row],[DeliveryDate]]-Sales[[#This Row],[OrderDate]]</f>
        <v>8</v>
      </c>
      <c r="T447" s="14" t="str">
        <f>IF(Sales[[#This Row],[Delivery Days]]&lt;=$W$2, "Timely", "Delayed")</f>
        <v>Delayed</v>
      </c>
      <c r="U447" t="s">
        <v>2922</v>
      </c>
    </row>
    <row r="448" spans="1:21" x14ac:dyDescent="0.25">
      <c r="A448" s="4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 s="6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1">
        <v>45319</v>
      </c>
      <c r="R448" s="1">
        <v>45327</v>
      </c>
      <c r="S448" s="14">
        <f>Sales[[#This Row],[DeliveryDate]]-Sales[[#This Row],[OrderDate]]</f>
        <v>8</v>
      </c>
      <c r="T448" s="14" t="str">
        <f>IF(Sales[[#This Row],[Delivery Days]]&lt;=$W$2, "Timely", "Delayed")</f>
        <v>Delayed</v>
      </c>
      <c r="U448" t="s">
        <v>2926</v>
      </c>
    </row>
    <row r="449" spans="1:21" x14ac:dyDescent="0.25">
      <c r="A449" s="4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 s="6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1">
        <v>44999</v>
      </c>
      <c r="R449" s="1">
        <v>45002</v>
      </c>
      <c r="S449" s="14">
        <f>Sales[[#This Row],[DeliveryDate]]-Sales[[#This Row],[OrderDate]]</f>
        <v>3</v>
      </c>
      <c r="T449" s="14" t="str">
        <f>IF(Sales[[#This Row],[Delivery Days]]&lt;=$W$2, "Timely", "Delayed")</f>
        <v>Timely</v>
      </c>
      <c r="U449" t="s">
        <v>2925</v>
      </c>
    </row>
    <row r="450" spans="1:21" x14ac:dyDescent="0.25">
      <c r="A450" s="4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 s="6">
        <v>1783.92</v>
      </c>
      <c r="K450" t="s">
        <v>43</v>
      </c>
      <c r="L450" t="s">
        <v>2941</v>
      </c>
      <c r="M450">
        <v>1</v>
      </c>
      <c r="N450" t="s">
        <v>499</v>
      </c>
      <c r="O450" t="s">
        <v>1988</v>
      </c>
      <c r="P450">
        <v>27.16</v>
      </c>
      <c r="Q450" s="1">
        <v>45666</v>
      </c>
      <c r="R450" s="1">
        <v>45674</v>
      </c>
      <c r="S450" s="14">
        <f>Sales[[#This Row],[DeliveryDate]]-Sales[[#This Row],[OrderDate]]</f>
        <v>8</v>
      </c>
      <c r="T450" s="14" t="str">
        <f>IF(Sales[[#This Row],[Delivery Days]]&lt;=$W$2, "Timely", "Delayed")</f>
        <v>Delayed</v>
      </c>
      <c r="U450" t="s">
        <v>2922</v>
      </c>
    </row>
    <row r="451" spans="1:21" x14ac:dyDescent="0.25">
      <c r="A451" s="4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 s="6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1">
        <v>45746</v>
      </c>
      <c r="R451" s="1">
        <v>45753</v>
      </c>
      <c r="S451" s="14">
        <f>Sales[[#This Row],[DeliveryDate]]-Sales[[#This Row],[OrderDate]]</f>
        <v>7</v>
      </c>
      <c r="T451" s="14" t="str">
        <f>IF(Sales[[#This Row],[Delivery Days]]&lt;=$W$2, "Timely", "Delayed")</f>
        <v>Delayed</v>
      </c>
      <c r="U451" t="s">
        <v>2925</v>
      </c>
    </row>
    <row r="452" spans="1:21" x14ac:dyDescent="0.25">
      <c r="A452" s="4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 s="6">
        <v>1588.2574999999999</v>
      </c>
      <c r="K452" t="s">
        <v>45</v>
      </c>
      <c r="L452" t="s">
        <v>2941</v>
      </c>
      <c r="M452">
        <v>0</v>
      </c>
      <c r="N452" t="s">
        <v>501</v>
      </c>
      <c r="O452" t="s">
        <v>1776</v>
      </c>
      <c r="P452">
        <v>32.130000000000003</v>
      </c>
      <c r="Q452" s="1">
        <v>45222</v>
      </c>
      <c r="R452" s="1">
        <v>45227</v>
      </c>
      <c r="S452" s="14">
        <f>Sales[[#This Row],[DeliveryDate]]-Sales[[#This Row],[OrderDate]]</f>
        <v>5</v>
      </c>
      <c r="T452" s="14" t="str">
        <f>IF(Sales[[#This Row],[Delivery Days]]&lt;=$W$2, "Timely", "Delayed")</f>
        <v>Timely</v>
      </c>
      <c r="U452" t="s">
        <v>2922</v>
      </c>
    </row>
    <row r="453" spans="1:21" x14ac:dyDescent="0.25">
      <c r="A453" s="4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 s="6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1">
        <v>45816</v>
      </c>
      <c r="R453" s="1">
        <v>45822</v>
      </c>
      <c r="S453" s="14">
        <f>Sales[[#This Row],[DeliveryDate]]-Sales[[#This Row],[OrderDate]]</f>
        <v>6</v>
      </c>
      <c r="T453" s="14" t="str">
        <f>IF(Sales[[#This Row],[Delivery Days]]&lt;=$W$2, "Timely", "Delayed")</f>
        <v>Timely</v>
      </c>
      <c r="U453" t="s">
        <v>2926</v>
      </c>
    </row>
    <row r="454" spans="1:21" x14ac:dyDescent="0.25">
      <c r="A454" s="4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 s="6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1">
        <v>45348</v>
      </c>
      <c r="R454" s="1">
        <v>45351</v>
      </c>
      <c r="S454" s="14">
        <f>Sales[[#This Row],[DeliveryDate]]-Sales[[#This Row],[OrderDate]]</f>
        <v>3</v>
      </c>
      <c r="T454" s="14" t="str">
        <f>IF(Sales[[#This Row],[Delivery Days]]&lt;=$W$2, "Timely", "Delayed")</f>
        <v>Timely</v>
      </c>
      <c r="U454" t="s">
        <v>2926</v>
      </c>
    </row>
    <row r="455" spans="1:21" x14ac:dyDescent="0.25">
      <c r="A455" s="4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 s="6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1">
        <v>45595</v>
      </c>
      <c r="R455" s="1">
        <v>45603</v>
      </c>
      <c r="S455" s="14">
        <f>Sales[[#This Row],[DeliveryDate]]-Sales[[#This Row],[OrderDate]]</f>
        <v>8</v>
      </c>
      <c r="T455" s="14" t="str">
        <f>IF(Sales[[#This Row],[Delivery Days]]&lt;=$W$2, "Timely", "Delayed")</f>
        <v>Delayed</v>
      </c>
      <c r="U455" t="s">
        <v>2922</v>
      </c>
    </row>
    <row r="456" spans="1:21" x14ac:dyDescent="0.25">
      <c r="A456" s="4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 s="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1">
        <v>45523</v>
      </c>
      <c r="R456" s="1">
        <v>45527</v>
      </c>
      <c r="S456" s="14">
        <f>Sales[[#This Row],[DeliveryDate]]-Sales[[#This Row],[OrderDate]]</f>
        <v>4</v>
      </c>
      <c r="T456" s="14" t="str">
        <f>IF(Sales[[#This Row],[Delivery Days]]&lt;=$W$2, "Timely", "Delayed")</f>
        <v>Timely</v>
      </c>
      <c r="U456" t="s">
        <v>2923</v>
      </c>
    </row>
    <row r="457" spans="1:21" x14ac:dyDescent="0.25">
      <c r="A457" s="4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 s="6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1">
        <v>45137</v>
      </c>
      <c r="R457" s="1">
        <v>45147</v>
      </c>
      <c r="S457" s="14">
        <f>Sales[[#This Row],[DeliveryDate]]-Sales[[#This Row],[OrderDate]]</f>
        <v>10</v>
      </c>
      <c r="T457" s="14" t="str">
        <f>IF(Sales[[#This Row],[Delivery Days]]&lt;=$W$2, "Timely", "Delayed")</f>
        <v>Delayed</v>
      </c>
      <c r="U457" t="s">
        <v>2925</v>
      </c>
    </row>
    <row r="458" spans="1:21" x14ac:dyDescent="0.25">
      <c r="A458" s="4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 s="6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1">
        <v>45517</v>
      </c>
      <c r="R458" s="1">
        <v>45527</v>
      </c>
      <c r="S458" s="14">
        <f>Sales[[#This Row],[DeliveryDate]]-Sales[[#This Row],[OrderDate]]</f>
        <v>10</v>
      </c>
      <c r="T458" s="14" t="str">
        <f>IF(Sales[[#This Row],[Delivery Days]]&lt;=$W$2, "Timely", "Delayed")</f>
        <v>Delayed</v>
      </c>
      <c r="U458" t="s">
        <v>2924</v>
      </c>
    </row>
    <row r="459" spans="1:21" x14ac:dyDescent="0.25">
      <c r="A459" s="4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 s="6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1">
        <v>45234</v>
      </c>
      <c r="R459" s="1">
        <v>45242</v>
      </c>
      <c r="S459" s="14">
        <f>Sales[[#This Row],[DeliveryDate]]-Sales[[#This Row],[OrderDate]]</f>
        <v>8</v>
      </c>
      <c r="T459" s="14" t="str">
        <f>IF(Sales[[#This Row],[Delivery Days]]&lt;=$W$2, "Timely", "Delayed")</f>
        <v>Delayed</v>
      </c>
      <c r="U459" t="s">
        <v>2924</v>
      </c>
    </row>
    <row r="460" spans="1:21" x14ac:dyDescent="0.25">
      <c r="A460" s="4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 s="6">
        <v>9331.85</v>
      </c>
      <c r="K460" t="s">
        <v>43</v>
      </c>
      <c r="L460" t="s">
        <v>2941</v>
      </c>
      <c r="M460">
        <v>0</v>
      </c>
      <c r="N460" t="s">
        <v>509</v>
      </c>
      <c r="O460" t="s">
        <v>1996</v>
      </c>
      <c r="P460">
        <v>48.68</v>
      </c>
      <c r="Q460" s="1">
        <v>45813</v>
      </c>
      <c r="R460" s="1">
        <v>45823</v>
      </c>
      <c r="S460" s="14">
        <f>Sales[[#This Row],[DeliveryDate]]-Sales[[#This Row],[OrderDate]]</f>
        <v>10</v>
      </c>
      <c r="T460" s="14" t="str">
        <f>IF(Sales[[#This Row],[Delivery Days]]&lt;=$W$2, "Timely", "Delayed")</f>
        <v>Delayed</v>
      </c>
      <c r="U460" t="s">
        <v>2922</v>
      </c>
    </row>
    <row r="461" spans="1:21" x14ac:dyDescent="0.25">
      <c r="A461" s="4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 s="6">
        <v>1801.7</v>
      </c>
      <c r="K461" t="s">
        <v>44</v>
      </c>
      <c r="L461" t="s">
        <v>2941</v>
      </c>
      <c r="M461">
        <v>0</v>
      </c>
      <c r="N461" t="s">
        <v>510</v>
      </c>
      <c r="O461" t="s">
        <v>1997</v>
      </c>
      <c r="P461">
        <v>33.76</v>
      </c>
      <c r="Q461" s="1">
        <v>45100</v>
      </c>
      <c r="R461" s="1">
        <v>45105</v>
      </c>
      <c r="S461" s="14">
        <f>Sales[[#This Row],[DeliveryDate]]-Sales[[#This Row],[OrderDate]]</f>
        <v>5</v>
      </c>
      <c r="T461" s="14" t="str">
        <f>IF(Sales[[#This Row],[Delivery Days]]&lt;=$W$2, "Timely", "Delayed")</f>
        <v>Timely</v>
      </c>
      <c r="U461" t="s">
        <v>2924</v>
      </c>
    </row>
    <row r="462" spans="1:21" x14ac:dyDescent="0.25">
      <c r="A462" s="4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 s="6">
        <v>5342.4000000000005</v>
      </c>
      <c r="K462" t="s">
        <v>44</v>
      </c>
      <c r="L462" t="s">
        <v>2941</v>
      </c>
      <c r="M462">
        <v>0</v>
      </c>
      <c r="N462" t="s">
        <v>511</v>
      </c>
      <c r="O462" t="s">
        <v>1998</v>
      </c>
      <c r="P462">
        <v>19.57</v>
      </c>
      <c r="Q462" s="1">
        <v>45556</v>
      </c>
      <c r="R462" s="1">
        <v>45563</v>
      </c>
      <c r="S462" s="14">
        <f>Sales[[#This Row],[DeliveryDate]]-Sales[[#This Row],[OrderDate]]</f>
        <v>7</v>
      </c>
      <c r="T462" s="14" t="str">
        <f>IF(Sales[[#This Row],[Delivery Days]]&lt;=$W$2, "Timely", "Delayed")</f>
        <v>Delayed</v>
      </c>
      <c r="U462" t="s">
        <v>2923</v>
      </c>
    </row>
    <row r="463" spans="1:21" x14ac:dyDescent="0.25">
      <c r="A463" s="4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 s="6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1">
        <v>45292</v>
      </c>
      <c r="R463" s="1">
        <v>45294</v>
      </c>
      <c r="S463" s="14">
        <f>Sales[[#This Row],[DeliveryDate]]-Sales[[#This Row],[OrderDate]]</f>
        <v>2</v>
      </c>
      <c r="T463" s="14" t="str">
        <f>IF(Sales[[#This Row],[Delivery Days]]&lt;=$W$2, "Timely", "Delayed")</f>
        <v>Timely</v>
      </c>
      <c r="U463" t="s">
        <v>2923</v>
      </c>
    </row>
    <row r="464" spans="1:21" x14ac:dyDescent="0.25">
      <c r="A464" s="4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 s="6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1">
        <v>45659</v>
      </c>
      <c r="R464" s="1">
        <v>45669</v>
      </c>
      <c r="S464" s="14">
        <f>Sales[[#This Row],[DeliveryDate]]-Sales[[#This Row],[OrderDate]]</f>
        <v>10</v>
      </c>
      <c r="T464" s="14" t="str">
        <f>IF(Sales[[#This Row],[Delivery Days]]&lt;=$W$2, "Timely", "Delayed")</f>
        <v>Delayed</v>
      </c>
      <c r="U464" t="s">
        <v>2926</v>
      </c>
    </row>
    <row r="465" spans="1:21" x14ac:dyDescent="0.25">
      <c r="A465" s="4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 s="6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1">
        <v>45365</v>
      </c>
      <c r="R465" s="1">
        <v>45372</v>
      </c>
      <c r="S465" s="14">
        <f>Sales[[#This Row],[DeliveryDate]]-Sales[[#This Row],[OrderDate]]</f>
        <v>7</v>
      </c>
      <c r="T465" s="14" t="str">
        <f>IF(Sales[[#This Row],[Delivery Days]]&lt;=$W$2, "Timely", "Delayed")</f>
        <v>Delayed</v>
      </c>
      <c r="U465" t="s">
        <v>2924</v>
      </c>
    </row>
    <row r="466" spans="1:21" x14ac:dyDescent="0.25">
      <c r="A466" s="4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 s="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1">
        <v>45416</v>
      </c>
      <c r="R466" s="1">
        <v>45421</v>
      </c>
      <c r="S466" s="14">
        <f>Sales[[#This Row],[DeliveryDate]]-Sales[[#This Row],[OrderDate]]</f>
        <v>5</v>
      </c>
      <c r="T466" s="14" t="str">
        <f>IF(Sales[[#This Row],[Delivery Days]]&lt;=$W$2, "Timely", "Delayed")</f>
        <v>Timely</v>
      </c>
      <c r="U466" t="s">
        <v>2926</v>
      </c>
    </row>
    <row r="467" spans="1:21" x14ac:dyDescent="0.25">
      <c r="A467" s="4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 s="6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1">
        <v>45715</v>
      </c>
      <c r="R467" s="1">
        <v>45718</v>
      </c>
      <c r="S467" s="14">
        <f>Sales[[#This Row],[DeliveryDate]]-Sales[[#This Row],[OrderDate]]</f>
        <v>3</v>
      </c>
      <c r="T467" s="14" t="str">
        <f>IF(Sales[[#This Row],[Delivery Days]]&lt;=$W$2, "Timely", "Delayed")</f>
        <v>Timely</v>
      </c>
      <c r="U467" t="s">
        <v>2923</v>
      </c>
    </row>
    <row r="468" spans="1:21" x14ac:dyDescent="0.25">
      <c r="A468" s="4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 s="6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1">
        <v>45609</v>
      </c>
      <c r="R468" s="1">
        <v>45613</v>
      </c>
      <c r="S468" s="14">
        <f>Sales[[#This Row],[DeliveryDate]]-Sales[[#This Row],[OrderDate]]</f>
        <v>4</v>
      </c>
      <c r="T468" s="14" t="str">
        <f>IF(Sales[[#This Row],[Delivery Days]]&lt;=$W$2, "Timely", "Delayed")</f>
        <v>Timely</v>
      </c>
      <c r="U468" t="s">
        <v>2925</v>
      </c>
    </row>
    <row r="469" spans="1:21" x14ac:dyDescent="0.25">
      <c r="A469" s="4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 s="6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1">
        <v>45230</v>
      </c>
      <c r="R469" s="1">
        <v>45240</v>
      </c>
      <c r="S469" s="14">
        <f>Sales[[#This Row],[DeliveryDate]]-Sales[[#This Row],[OrderDate]]</f>
        <v>10</v>
      </c>
      <c r="T469" s="14" t="str">
        <f>IF(Sales[[#This Row],[Delivery Days]]&lt;=$W$2, "Timely", "Delayed")</f>
        <v>Delayed</v>
      </c>
      <c r="U469" t="s">
        <v>2926</v>
      </c>
    </row>
    <row r="470" spans="1:21" x14ac:dyDescent="0.25">
      <c r="A470" s="4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 s="6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1">
        <v>45279</v>
      </c>
      <c r="R470" s="1">
        <v>45284</v>
      </c>
      <c r="S470" s="14">
        <f>Sales[[#This Row],[DeliveryDate]]-Sales[[#This Row],[OrderDate]]</f>
        <v>5</v>
      </c>
      <c r="T470" s="14" t="str">
        <f>IF(Sales[[#This Row],[Delivery Days]]&lt;=$W$2, "Timely", "Delayed")</f>
        <v>Timely</v>
      </c>
      <c r="U470" t="s">
        <v>2925</v>
      </c>
    </row>
    <row r="471" spans="1:21" x14ac:dyDescent="0.25">
      <c r="A471" s="4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 s="6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1">
        <v>45257</v>
      </c>
      <c r="R471" s="1">
        <v>45263</v>
      </c>
      <c r="S471" s="14">
        <f>Sales[[#This Row],[DeliveryDate]]-Sales[[#This Row],[OrderDate]]</f>
        <v>6</v>
      </c>
      <c r="T471" s="14" t="str">
        <f>IF(Sales[[#This Row],[Delivery Days]]&lt;=$W$2, "Timely", "Delayed")</f>
        <v>Timely</v>
      </c>
      <c r="U471" t="s">
        <v>2923</v>
      </c>
    </row>
    <row r="472" spans="1:21" x14ac:dyDescent="0.25">
      <c r="A472" s="4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 s="6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1">
        <v>45153</v>
      </c>
      <c r="R472" s="1">
        <v>45156</v>
      </c>
      <c r="S472" s="14">
        <f>Sales[[#This Row],[DeliveryDate]]-Sales[[#This Row],[OrderDate]]</f>
        <v>3</v>
      </c>
      <c r="T472" s="14" t="str">
        <f>IF(Sales[[#This Row],[Delivery Days]]&lt;=$W$2, "Timely", "Delayed")</f>
        <v>Timely</v>
      </c>
      <c r="U472" t="s">
        <v>2922</v>
      </c>
    </row>
    <row r="473" spans="1:21" x14ac:dyDescent="0.25">
      <c r="A473" s="4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 s="6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1">
        <v>44942</v>
      </c>
      <c r="R473" s="1">
        <v>44950</v>
      </c>
      <c r="S473" s="14">
        <f>Sales[[#This Row],[DeliveryDate]]-Sales[[#This Row],[OrderDate]]</f>
        <v>8</v>
      </c>
      <c r="T473" s="14" t="str">
        <f>IF(Sales[[#This Row],[Delivery Days]]&lt;=$W$2, "Timely", "Delayed")</f>
        <v>Delayed</v>
      </c>
      <c r="U473" t="s">
        <v>2926</v>
      </c>
    </row>
    <row r="474" spans="1:21" x14ac:dyDescent="0.25">
      <c r="A474" s="4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 s="6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1">
        <v>45716</v>
      </c>
      <c r="R474" s="1">
        <v>45724</v>
      </c>
      <c r="S474" s="14">
        <f>Sales[[#This Row],[DeliveryDate]]-Sales[[#This Row],[OrderDate]]</f>
        <v>8</v>
      </c>
      <c r="T474" s="14" t="str">
        <f>IF(Sales[[#This Row],[Delivery Days]]&lt;=$W$2, "Timely", "Delayed")</f>
        <v>Delayed</v>
      </c>
      <c r="U474" t="s">
        <v>2925</v>
      </c>
    </row>
    <row r="475" spans="1:21" x14ac:dyDescent="0.25">
      <c r="A475" s="4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 s="6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1">
        <v>45258</v>
      </c>
      <c r="R475" s="1">
        <v>45261</v>
      </c>
      <c r="S475" s="14">
        <f>Sales[[#This Row],[DeliveryDate]]-Sales[[#This Row],[OrderDate]]</f>
        <v>3</v>
      </c>
      <c r="T475" s="14" t="str">
        <f>IF(Sales[[#This Row],[Delivery Days]]&lt;=$W$2, "Timely", "Delayed")</f>
        <v>Timely</v>
      </c>
      <c r="U475" t="s">
        <v>2926</v>
      </c>
    </row>
    <row r="476" spans="1:21" x14ac:dyDescent="0.25">
      <c r="A476" s="4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 s="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1">
        <v>45264</v>
      </c>
      <c r="R476" s="1">
        <v>45273</v>
      </c>
      <c r="S476" s="14">
        <f>Sales[[#This Row],[DeliveryDate]]-Sales[[#This Row],[OrderDate]]</f>
        <v>9</v>
      </c>
      <c r="T476" s="14" t="str">
        <f>IF(Sales[[#This Row],[Delivery Days]]&lt;=$W$2, "Timely", "Delayed")</f>
        <v>Delayed</v>
      </c>
      <c r="U476" t="s">
        <v>2926</v>
      </c>
    </row>
    <row r="477" spans="1:21" x14ac:dyDescent="0.25">
      <c r="A477" s="4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 s="6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1">
        <v>45464</v>
      </c>
      <c r="R477" s="1">
        <v>45472</v>
      </c>
      <c r="S477" s="14">
        <f>Sales[[#This Row],[DeliveryDate]]-Sales[[#This Row],[OrderDate]]</f>
        <v>8</v>
      </c>
      <c r="T477" s="14" t="str">
        <f>IF(Sales[[#This Row],[Delivery Days]]&lt;=$W$2, "Timely", "Delayed")</f>
        <v>Delayed</v>
      </c>
      <c r="U477" t="s">
        <v>2923</v>
      </c>
    </row>
    <row r="478" spans="1:21" x14ac:dyDescent="0.25">
      <c r="A478" s="4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 s="6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1">
        <v>45733</v>
      </c>
      <c r="R478" s="1">
        <v>45742</v>
      </c>
      <c r="S478" s="14">
        <f>Sales[[#This Row],[DeliveryDate]]-Sales[[#This Row],[OrderDate]]</f>
        <v>9</v>
      </c>
      <c r="T478" s="14" t="str">
        <f>IF(Sales[[#This Row],[Delivery Days]]&lt;=$W$2, "Timely", "Delayed")</f>
        <v>Delayed</v>
      </c>
      <c r="U478" t="s">
        <v>2922</v>
      </c>
    </row>
    <row r="479" spans="1:21" x14ac:dyDescent="0.25">
      <c r="A479" s="4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 s="6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1">
        <v>45155</v>
      </c>
      <c r="R479" s="1">
        <v>45157</v>
      </c>
      <c r="S479" s="14">
        <f>Sales[[#This Row],[DeliveryDate]]-Sales[[#This Row],[OrderDate]]</f>
        <v>2</v>
      </c>
      <c r="T479" s="14" t="str">
        <f>IF(Sales[[#This Row],[Delivery Days]]&lt;=$W$2, "Timely", "Delayed")</f>
        <v>Timely</v>
      </c>
      <c r="U479" t="s">
        <v>2925</v>
      </c>
    </row>
    <row r="480" spans="1:21" x14ac:dyDescent="0.25">
      <c r="A480" s="4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 s="6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1">
        <v>45168</v>
      </c>
      <c r="R480" s="1">
        <v>45174</v>
      </c>
      <c r="S480" s="14">
        <f>Sales[[#This Row],[DeliveryDate]]-Sales[[#This Row],[OrderDate]]</f>
        <v>6</v>
      </c>
      <c r="T480" s="14" t="str">
        <f>IF(Sales[[#This Row],[Delivery Days]]&lt;=$W$2, "Timely", "Delayed")</f>
        <v>Timely</v>
      </c>
      <c r="U480" t="s">
        <v>2925</v>
      </c>
    </row>
    <row r="481" spans="1:21" x14ac:dyDescent="0.25">
      <c r="A481" s="4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 s="6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1">
        <v>45824</v>
      </c>
      <c r="R481" s="1">
        <v>45826</v>
      </c>
      <c r="S481" s="14">
        <f>Sales[[#This Row],[DeliveryDate]]-Sales[[#This Row],[OrderDate]]</f>
        <v>2</v>
      </c>
      <c r="T481" s="14" t="str">
        <f>IF(Sales[[#This Row],[Delivery Days]]&lt;=$W$2, "Timely", "Delayed")</f>
        <v>Timely</v>
      </c>
      <c r="U481" t="s">
        <v>2922</v>
      </c>
    </row>
    <row r="482" spans="1:21" x14ac:dyDescent="0.25">
      <c r="A482" s="4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 s="6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1">
        <v>45106</v>
      </c>
      <c r="R482" s="1">
        <v>45116</v>
      </c>
      <c r="S482" s="14">
        <f>Sales[[#This Row],[DeliveryDate]]-Sales[[#This Row],[OrderDate]]</f>
        <v>10</v>
      </c>
      <c r="T482" s="14" t="str">
        <f>IF(Sales[[#This Row],[Delivery Days]]&lt;=$W$2, "Timely", "Delayed")</f>
        <v>Delayed</v>
      </c>
      <c r="U482" t="s">
        <v>2924</v>
      </c>
    </row>
    <row r="483" spans="1:21" x14ac:dyDescent="0.25">
      <c r="A483" s="4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 s="6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1">
        <v>45151</v>
      </c>
      <c r="R483" s="1">
        <v>45158</v>
      </c>
      <c r="S483" s="14">
        <f>Sales[[#This Row],[DeliveryDate]]-Sales[[#This Row],[OrderDate]]</f>
        <v>7</v>
      </c>
      <c r="T483" s="14" t="str">
        <f>IF(Sales[[#This Row],[Delivery Days]]&lt;=$W$2, "Timely", "Delayed")</f>
        <v>Delayed</v>
      </c>
      <c r="U483" t="s">
        <v>2924</v>
      </c>
    </row>
    <row r="484" spans="1:21" x14ac:dyDescent="0.25">
      <c r="A484" s="4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 s="6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1">
        <v>45411</v>
      </c>
      <c r="R484" s="1">
        <v>45419</v>
      </c>
      <c r="S484" s="14">
        <f>Sales[[#This Row],[DeliveryDate]]-Sales[[#This Row],[OrderDate]]</f>
        <v>8</v>
      </c>
      <c r="T484" s="14" t="str">
        <f>IF(Sales[[#This Row],[Delivery Days]]&lt;=$W$2, "Timely", "Delayed")</f>
        <v>Delayed</v>
      </c>
      <c r="U484" t="s">
        <v>2926</v>
      </c>
    </row>
    <row r="485" spans="1:21" x14ac:dyDescent="0.25">
      <c r="A485" s="4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 s="6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1">
        <v>45122</v>
      </c>
      <c r="R485" s="1">
        <v>45132</v>
      </c>
      <c r="S485" s="14">
        <f>Sales[[#This Row],[DeliveryDate]]-Sales[[#This Row],[OrderDate]]</f>
        <v>10</v>
      </c>
      <c r="T485" s="14" t="str">
        <f>IF(Sales[[#This Row],[Delivery Days]]&lt;=$W$2, "Timely", "Delayed")</f>
        <v>Delayed</v>
      </c>
      <c r="U485" t="s">
        <v>2926</v>
      </c>
    </row>
    <row r="486" spans="1:21" x14ac:dyDescent="0.25">
      <c r="A486" s="4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 s="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1">
        <v>45674</v>
      </c>
      <c r="R486" s="1">
        <v>45680</v>
      </c>
      <c r="S486" s="14">
        <f>Sales[[#This Row],[DeliveryDate]]-Sales[[#This Row],[OrderDate]]</f>
        <v>6</v>
      </c>
      <c r="T486" s="14" t="str">
        <f>IF(Sales[[#This Row],[Delivery Days]]&lt;=$W$2, "Timely", "Delayed")</f>
        <v>Timely</v>
      </c>
      <c r="U486" t="s">
        <v>2924</v>
      </c>
    </row>
    <row r="487" spans="1:21" x14ac:dyDescent="0.25">
      <c r="A487" s="4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 s="6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1">
        <v>45709</v>
      </c>
      <c r="R487" s="1">
        <v>45719</v>
      </c>
      <c r="S487" s="14">
        <f>Sales[[#This Row],[DeliveryDate]]-Sales[[#This Row],[OrderDate]]</f>
        <v>10</v>
      </c>
      <c r="T487" s="14" t="str">
        <f>IF(Sales[[#This Row],[Delivery Days]]&lt;=$W$2, "Timely", "Delayed")</f>
        <v>Delayed</v>
      </c>
      <c r="U487" t="s">
        <v>2922</v>
      </c>
    </row>
    <row r="488" spans="1:21" x14ac:dyDescent="0.25">
      <c r="A488" s="4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 s="6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1">
        <v>45126</v>
      </c>
      <c r="R488" s="1">
        <v>45133</v>
      </c>
      <c r="S488" s="14">
        <f>Sales[[#This Row],[DeliveryDate]]-Sales[[#This Row],[OrderDate]]</f>
        <v>7</v>
      </c>
      <c r="T488" s="14" t="str">
        <f>IF(Sales[[#This Row],[Delivery Days]]&lt;=$W$2, "Timely", "Delayed")</f>
        <v>Delayed</v>
      </c>
      <c r="U488" t="s">
        <v>2926</v>
      </c>
    </row>
    <row r="489" spans="1:21" x14ac:dyDescent="0.25">
      <c r="A489" s="4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 s="6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1">
        <v>45564</v>
      </c>
      <c r="R489" s="1">
        <v>45571</v>
      </c>
      <c r="S489" s="14">
        <f>Sales[[#This Row],[DeliveryDate]]-Sales[[#This Row],[OrderDate]]</f>
        <v>7</v>
      </c>
      <c r="T489" s="14" t="str">
        <f>IF(Sales[[#This Row],[Delivery Days]]&lt;=$W$2, "Timely", "Delayed")</f>
        <v>Delayed</v>
      </c>
      <c r="U489" t="s">
        <v>2926</v>
      </c>
    </row>
    <row r="490" spans="1:21" x14ac:dyDescent="0.25">
      <c r="A490" s="4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 s="6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1">
        <v>45582</v>
      </c>
      <c r="R490" s="1">
        <v>45586</v>
      </c>
      <c r="S490" s="14">
        <f>Sales[[#This Row],[DeliveryDate]]-Sales[[#This Row],[OrderDate]]</f>
        <v>4</v>
      </c>
      <c r="T490" s="14" t="str">
        <f>IF(Sales[[#This Row],[Delivery Days]]&lt;=$W$2, "Timely", "Delayed")</f>
        <v>Timely</v>
      </c>
      <c r="U490" t="s">
        <v>2922</v>
      </c>
    </row>
    <row r="491" spans="1:21" x14ac:dyDescent="0.25">
      <c r="A491" s="4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 s="6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1">
        <v>45819</v>
      </c>
      <c r="R491" s="1">
        <v>45825</v>
      </c>
      <c r="S491" s="14">
        <f>Sales[[#This Row],[DeliveryDate]]-Sales[[#This Row],[OrderDate]]</f>
        <v>6</v>
      </c>
      <c r="T491" s="14" t="str">
        <f>IF(Sales[[#This Row],[Delivery Days]]&lt;=$W$2, "Timely", "Delayed")</f>
        <v>Timely</v>
      </c>
      <c r="U491" t="s">
        <v>2922</v>
      </c>
    </row>
    <row r="492" spans="1:21" x14ac:dyDescent="0.25">
      <c r="A492" s="4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 s="6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1">
        <v>45310</v>
      </c>
      <c r="R492" s="1">
        <v>45320</v>
      </c>
      <c r="S492" s="14">
        <f>Sales[[#This Row],[DeliveryDate]]-Sales[[#This Row],[OrderDate]]</f>
        <v>10</v>
      </c>
      <c r="T492" s="14" t="str">
        <f>IF(Sales[[#This Row],[Delivery Days]]&lt;=$W$2, "Timely", "Delayed")</f>
        <v>Delayed</v>
      </c>
      <c r="U492" t="s">
        <v>2926</v>
      </c>
    </row>
    <row r="493" spans="1:21" x14ac:dyDescent="0.25">
      <c r="A493" s="4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 s="6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1">
        <v>45263</v>
      </c>
      <c r="R493" s="1">
        <v>45265</v>
      </c>
      <c r="S493" s="14">
        <f>Sales[[#This Row],[DeliveryDate]]-Sales[[#This Row],[OrderDate]]</f>
        <v>2</v>
      </c>
      <c r="T493" s="14" t="str">
        <f>IF(Sales[[#This Row],[Delivery Days]]&lt;=$W$2, "Timely", "Delayed")</f>
        <v>Timely</v>
      </c>
      <c r="U493" t="s">
        <v>2922</v>
      </c>
    </row>
    <row r="494" spans="1:21" x14ac:dyDescent="0.25">
      <c r="A494" s="4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 s="6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1">
        <v>45462</v>
      </c>
      <c r="R494" s="1">
        <v>45470</v>
      </c>
      <c r="S494" s="14">
        <f>Sales[[#This Row],[DeliveryDate]]-Sales[[#This Row],[OrderDate]]</f>
        <v>8</v>
      </c>
      <c r="T494" s="14" t="str">
        <f>IF(Sales[[#This Row],[Delivery Days]]&lt;=$W$2, "Timely", "Delayed")</f>
        <v>Delayed</v>
      </c>
      <c r="U494" t="s">
        <v>2925</v>
      </c>
    </row>
    <row r="495" spans="1:21" x14ac:dyDescent="0.25">
      <c r="A495" s="4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 s="6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1">
        <v>45581</v>
      </c>
      <c r="R495" s="1">
        <v>45586</v>
      </c>
      <c r="S495" s="14">
        <f>Sales[[#This Row],[DeliveryDate]]-Sales[[#This Row],[OrderDate]]</f>
        <v>5</v>
      </c>
      <c r="T495" s="14" t="str">
        <f>IF(Sales[[#This Row],[Delivery Days]]&lt;=$W$2, "Timely", "Delayed")</f>
        <v>Timely</v>
      </c>
      <c r="U495" t="s">
        <v>2926</v>
      </c>
    </row>
    <row r="496" spans="1:21" x14ac:dyDescent="0.25">
      <c r="A496" s="4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 s="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1">
        <v>45680</v>
      </c>
      <c r="R496" s="1">
        <v>45684</v>
      </c>
      <c r="S496" s="14">
        <f>Sales[[#This Row],[DeliveryDate]]-Sales[[#This Row],[OrderDate]]</f>
        <v>4</v>
      </c>
      <c r="T496" s="14" t="str">
        <f>IF(Sales[[#This Row],[Delivery Days]]&lt;=$W$2, "Timely", "Delayed")</f>
        <v>Timely</v>
      </c>
      <c r="U496" t="s">
        <v>2922</v>
      </c>
    </row>
    <row r="497" spans="1:21" x14ac:dyDescent="0.25">
      <c r="A497" s="4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 s="6">
        <v>1188.432</v>
      </c>
      <c r="K497" t="s">
        <v>45</v>
      </c>
      <c r="L497" t="s">
        <v>2941</v>
      </c>
      <c r="M497">
        <v>0</v>
      </c>
      <c r="N497" t="s">
        <v>546</v>
      </c>
      <c r="O497" t="s">
        <v>2030</v>
      </c>
      <c r="P497">
        <v>10.45</v>
      </c>
      <c r="Q497" s="1">
        <v>45201</v>
      </c>
      <c r="R497" s="1">
        <v>45209</v>
      </c>
      <c r="S497" s="14">
        <f>Sales[[#This Row],[DeliveryDate]]-Sales[[#This Row],[OrderDate]]</f>
        <v>8</v>
      </c>
      <c r="T497" s="14" t="str">
        <f>IF(Sales[[#This Row],[Delivery Days]]&lt;=$W$2, "Timely", "Delayed")</f>
        <v>Delayed</v>
      </c>
      <c r="U497" t="s">
        <v>2925</v>
      </c>
    </row>
    <row r="498" spans="1:21" x14ac:dyDescent="0.25">
      <c r="A498" s="4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 s="6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1">
        <v>45235</v>
      </c>
      <c r="R498" s="1">
        <v>45237</v>
      </c>
      <c r="S498" s="14">
        <f>Sales[[#This Row],[DeliveryDate]]-Sales[[#This Row],[OrderDate]]</f>
        <v>2</v>
      </c>
      <c r="T498" s="14" t="str">
        <f>IF(Sales[[#This Row],[Delivery Days]]&lt;=$W$2, "Timely", "Delayed")</f>
        <v>Timely</v>
      </c>
      <c r="U498" t="s">
        <v>2922</v>
      </c>
    </row>
    <row r="499" spans="1:21" x14ac:dyDescent="0.25">
      <c r="A499" s="4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 s="6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1">
        <v>45095</v>
      </c>
      <c r="R499" s="1">
        <v>45100</v>
      </c>
      <c r="S499" s="14">
        <f>Sales[[#This Row],[DeliveryDate]]-Sales[[#This Row],[OrderDate]]</f>
        <v>5</v>
      </c>
      <c r="T499" s="14" t="str">
        <f>IF(Sales[[#This Row],[Delivery Days]]&lt;=$W$2, "Timely", "Delayed")</f>
        <v>Timely</v>
      </c>
      <c r="U499" t="s">
        <v>2923</v>
      </c>
    </row>
    <row r="500" spans="1:21" x14ac:dyDescent="0.25">
      <c r="A500" s="4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 s="6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1">
        <v>45488</v>
      </c>
      <c r="R500" s="1">
        <v>45494</v>
      </c>
      <c r="S500" s="14">
        <f>Sales[[#This Row],[DeliveryDate]]-Sales[[#This Row],[OrderDate]]</f>
        <v>6</v>
      </c>
      <c r="T500" s="14" t="str">
        <f>IF(Sales[[#This Row],[Delivery Days]]&lt;=$W$2, "Timely", "Delayed")</f>
        <v>Timely</v>
      </c>
      <c r="U500" t="s">
        <v>2925</v>
      </c>
    </row>
    <row r="501" spans="1:21" x14ac:dyDescent="0.25">
      <c r="A501" s="4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 s="6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1">
        <v>45457</v>
      </c>
      <c r="R501" s="1">
        <v>45466</v>
      </c>
      <c r="S501" s="14">
        <f>Sales[[#This Row],[DeliveryDate]]-Sales[[#This Row],[OrderDate]]</f>
        <v>9</v>
      </c>
      <c r="T501" s="14" t="str">
        <f>IF(Sales[[#This Row],[Delivery Days]]&lt;=$W$2, "Timely", "Delayed")</f>
        <v>Delayed</v>
      </c>
      <c r="U501" t="s">
        <v>2925</v>
      </c>
    </row>
    <row r="502" spans="1:21" x14ac:dyDescent="0.25">
      <c r="A502" s="4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 s="6">
        <v>5175.8625000000002</v>
      </c>
      <c r="K502" t="s">
        <v>44</v>
      </c>
      <c r="L502" t="s">
        <v>2941</v>
      </c>
      <c r="M502">
        <v>0</v>
      </c>
      <c r="N502" t="s">
        <v>551</v>
      </c>
      <c r="O502" t="s">
        <v>2034</v>
      </c>
      <c r="P502">
        <v>32.04</v>
      </c>
      <c r="Q502" s="1">
        <v>45387</v>
      </c>
      <c r="R502" s="1">
        <v>45392</v>
      </c>
      <c r="S502" s="14">
        <f>Sales[[#This Row],[DeliveryDate]]-Sales[[#This Row],[OrderDate]]</f>
        <v>5</v>
      </c>
      <c r="T502" s="14" t="str">
        <f>IF(Sales[[#This Row],[Delivery Days]]&lt;=$W$2, "Timely", "Delayed")</f>
        <v>Timely</v>
      </c>
      <c r="U502" t="s">
        <v>2922</v>
      </c>
    </row>
    <row r="503" spans="1:21" x14ac:dyDescent="0.25">
      <c r="A503" s="4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 s="6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1">
        <v>44984</v>
      </c>
      <c r="R503" s="1">
        <v>44992</v>
      </c>
      <c r="S503" s="14">
        <f>Sales[[#This Row],[DeliveryDate]]-Sales[[#This Row],[OrderDate]]</f>
        <v>8</v>
      </c>
      <c r="T503" s="14" t="str">
        <f>IF(Sales[[#This Row],[Delivery Days]]&lt;=$W$2, "Timely", "Delayed")</f>
        <v>Delayed</v>
      </c>
      <c r="U503" t="s">
        <v>2924</v>
      </c>
    </row>
    <row r="504" spans="1:21" x14ac:dyDescent="0.25">
      <c r="A504" s="4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 s="6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1">
        <v>45138</v>
      </c>
      <c r="R504" s="1">
        <v>45147</v>
      </c>
      <c r="S504" s="14">
        <f>Sales[[#This Row],[DeliveryDate]]-Sales[[#This Row],[OrderDate]]</f>
        <v>9</v>
      </c>
      <c r="T504" s="14" t="str">
        <f>IF(Sales[[#This Row],[Delivery Days]]&lt;=$W$2, "Timely", "Delayed")</f>
        <v>Delayed</v>
      </c>
      <c r="U504" t="s">
        <v>2926</v>
      </c>
    </row>
    <row r="505" spans="1:21" x14ac:dyDescent="0.25">
      <c r="A505" s="4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 s="6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1">
        <v>44988</v>
      </c>
      <c r="R505" s="1">
        <v>44995</v>
      </c>
      <c r="S505" s="14">
        <f>Sales[[#This Row],[DeliveryDate]]-Sales[[#This Row],[OrderDate]]</f>
        <v>7</v>
      </c>
      <c r="T505" s="14" t="str">
        <f>IF(Sales[[#This Row],[Delivery Days]]&lt;=$W$2, "Timely", "Delayed")</f>
        <v>Delayed</v>
      </c>
      <c r="U505" t="s">
        <v>2926</v>
      </c>
    </row>
    <row r="506" spans="1:21" x14ac:dyDescent="0.25">
      <c r="A506" s="4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 s="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1">
        <v>45042</v>
      </c>
      <c r="R506" s="1">
        <v>45044</v>
      </c>
      <c r="S506" s="14">
        <f>Sales[[#This Row],[DeliveryDate]]-Sales[[#This Row],[OrderDate]]</f>
        <v>2</v>
      </c>
      <c r="T506" s="14" t="str">
        <f>IF(Sales[[#This Row],[Delivery Days]]&lt;=$W$2, "Timely", "Delayed")</f>
        <v>Timely</v>
      </c>
      <c r="U506" t="s">
        <v>2923</v>
      </c>
    </row>
    <row r="507" spans="1:21" x14ac:dyDescent="0.25">
      <c r="A507" s="4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 s="6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1">
        <v>45584</v>
      </c>
      <c r="R507" s="1">
        <v>45592</v>
      </c>
      <c r="S507" s="14">
        <f>Sales[[#This Row],[DeliveryDate]]-Sales[[#This Row],[OrderDate]]</f>
        <v>8</v>
      </c>
      <c r="T507" s="14" t="str">
        <f>IF(Sales[[#This Row],[Delivery Days]]&lt;=$W$2, "Timely", "Delayed")</f>
        <v>Delayed</v>
      </c>
      <c r="U507" t="s">
        <v>2922</v>
      </c>
    </row>
    <row r="508" spans="1:21" x14ac:dyDescent="0.25">
      <c r="A508" s="4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 s="6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1">
        <v>45473</v>
      </c>
      <c r="R508" s="1">
        <v>45477</v>
      </c>
      <c r="S508" s="14">
        <f>Sales[[#This Row],[DeliveryDate]]-Sales[[#This Row],[OrderDate]]</f>
        <v>4</v>
      </c>
      <c r="T508" s="14" t="str">
        <f>IF(Sales[[#This Row],[Delivery Days]]&lt;=$W$2, "Timely", "Delayed")</f>
        <v>Timely</v>
      </c>
      <c r="U508" t="s">
        <v>2925</v>
      </c>
    </row>
    <row r="509" spans="1:21" x14ac:dyDescent="0.25">
      <c r="A509" s="4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 s="6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1">
        <v>45576</v>
      </c>
      <c r="R509" s="1">
        <v>45584</v>
      </c>
      <c r="S509" s="14">
        <f>Sales[[#This Row],[DeliveryDate]]-Sales[[#This Row],[OrderDate]]</f>
        <v>8</v>
      </c>
      <c r="T509" s="14" t="str">
        <f>IF(Sales[[#This Row],[Delivery Days]]&lt;=$W$2, "Timely", "Delayed")</f>
        <v>Delayed</v>
      </c>
      <c r="U509" t="s">
        <v>2926</v>
      </c>
    </row>
    <row r="510" spans="1:21" x14ac:dyDescent="0.25">
      <c r="A510" s="4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 s="6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1">
        <v>45822</v>
      </c>
      <c r="R510" s="1">
        <v>45831</v>
      </c>
      <c r="S510" s="14">
        <f>Sales[[#This Row],[DeliveryDate]]-Sales[[#This Row],[OrderDate]]</f>
        <v>9</v>
      </c>
      <c r="T510" s="14" t="str">
        <f>IF(Sales[[#This Row],[Delivery Days]]&lt;=$W$2, "Timely", "Delayed")</f>
        <v>Delayed</v>
      </c>
      <c r="U510" t="s">
        <v>2925</v>
      </c>
    </row>
    <row r="511" spans="1:21" x14ac:dyDescent="0.25">
      <c r="A511" s="4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 s="6">
        <v>8107.1280000000006</v>
      </c>
      <c r="K511" t="s">
        <v>45</v>
      </c>
      <c r="L511" t="s">
        <v>2941</v>
      </c>
      <c r="M511">
        <v>0</v>
      </c>
      <c r="N511" t="s">
        <v>560</v>
      </c>
      <c r="O511" t="s">
        <v>2042</v>
      </c>
      <c r="P511">
        <v>8.8699999999999992</v>
      </c>
      <c r="Q511" s="1">
        <v>45648</v>
      </c>
      <c r="R511" s="1">
        <v>45656</v>
      </c>
      <c r="S511" s="14">
        <f>Sales[[#This Row],[DeliveryDate]]-Sales[[#This Row],[OrderDate]]</f>
        <v>8</v>
      </c>
      <c r="T511" s="14" t="str">
        <f>IF(Sales[[#This Row],[Delivery Days]]&lt;=$W$2, "Timely", "Delayed")</f>
        <v>Delayed</v>
      </c>
      <c r="U511" t="s">
        <v>2922</v>
      </c>
    </row>
    <row r="512" spans="1:21" x14ac:dyDescent="0.25">
      <c r="A512" s="4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 s="6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1">
        <v>45404</v>
      </c>
      <c r="R512" s="1">
        <v>45407</v>
      </c>
      <c r="S512" s="14">
        <f>Sales[[#This Row],[DeliveryDate]]-Sales[[#This Row],[OrderDate]]</f>
        <v>3</v>
      </c>
      <c r="T512" s="14" t="str">
        <f>IF(Sales[[#This Row],[Delivery Days]]&lt;=$W$2, "Timely", "Delayed")</f>
        <v>Timely</v>
      </c>
      <c r="U512" t="s">
        <v>2926</v>
      </c>
    </row>
    <row r="513" spans="1:21" x14ac:dyDescent="0.25">
      <c r="A513" s="4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 s="6">
        <v>932.12700000000007</v>
      </c>
      <c r="K513" t="s">
        <v>43</v>
      </c>
      <c r="L513" t="s">
        <v>2941</v>
      </c>
      <c r="M513">
        <v>0</v>
      </c>
      <c r="N513" t="s">
        <v>562</v>
      </c>
      <c r="O513" t="s">
        <v>2044</v>
      </c>
      <c r="P513">
        <v>45.89</v>
      </c>
      <c r="Q513" s="1">
        <v>45682</v>
      </c>
      <c r="R513" s="1">
        <v>45686</v>
      </c>
      <c r="S513" s="14">
        <f>Sales[[#This Row],[DeliveryDate]]-Sales[[#This Row],[OrderDate]]</f>
        <v>4</v>
      </c>
      <c r="T513" s="14" t="str">
        <f>IF(Sales[[#This Row],[Delivery Days]]&lt;=$W$2, "Timely", "Delayed")</f>
        <v>Timely</v>
      </c>
      <c r="U513" t="s">
        <v>2924</v>
      </c>
    </row>
    <row r="514" spans="1:21" x14ac:dyDescent="0.25">
      <c r="A514" s="4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 s="6">
        <v>1148.0525</v>
      </c>
      <c r="K514" t="s">
        <v>45</v>
      </c>
      <c r="L514" t="s">
        <v>2941</v>
      </c>
      <c r="M514">
        <v>0</v>
      </c>
      <c r="N514" t="s">
        <v>563</v>
      </c>
      <c r="O514" t="s">
        <v>2045</v>
      </c>
      <c r="P514">
        <v>15.74</v>
      </c>
      <c r="Q514" s="1">
        <v>45609</v>
      </c>
      <c r="R514" s="1">
        <v>45615</v>
      </c>
      <c r="S514" s="14">
        <f>Sales[[#This Row],[DeliveryDate]]-Sales[[#This Row],[OrderDate]]</f>
        <v>6</v>
      </c>
      <c r="T514" s="14" t="str">
        <f>IF(Sales[[#This Row],[Delivery Days]]&lt;=$W$2, "Timely", "Delayed")</f>
        <v>Timely</v>
      </c>
      <c r="U514" t="s">
        <v>2924</v>
      </c>
    </row>
    <row r="515" spans="1:21" x14ac:dyDescent="0.25">
      <c r="A515" s="4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 s="6">
        <v>816.255</v>
      </c>
      <c r="K515" t="s">
        <v>43</v>
      </c>
      <c r="L515" t="s">
        <v>2941</v>
      </c>
      <c r="M515">
        <v>0</v>
      </c>
      <c r="N515" t="s">
        <v>564</v>
      </c>
      <c r="O515" t="s">
        <v>2046</v>
      </c>
      <c r="P515">
        <v>42.07</v>
      </c>
      <c r="Q515" s="1">
        <v>45001</v>
      </c>
      <c r="R515" s="1">
        <v>45006</v>
      </c>
      <c r="S515" s="14">
        <f>Sales[[#This Row],[DeliveryDate]]-Sales[[#This Row],[OrderDate]]</f>
        <v>5</v>
      </c>
      <c r="T515" s="14" t="str">
        <f>IF(Sales[[#This Row],[Delivery Days]]&lt;=$W$2, "Timely", "Delayed")</f>
        <v>Timely</v>
      </c>
      <c r="U515" t="s">
        <v>2922</v>
      </c>
    </row>
    <row r="516" spans="1:21" x14ac:dyDescent="0.25">
      <c r="A516" s="4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 s="6">
        <v>6719.2739999999994</v>
      </c>
      <c r="K516" t="s">
        <v>45</v>
      </c>
      <c r="L516" t="s">
        <v>2941</v>
      </c>
      <c r="M516">
        <v>1</v>
      </c>
      <c r="N516" t="s">
        <v>565</v>
      </c>
      <c r="O516" t="s">
        <v>2047</v>
      </c>
      <c r="P516">
        <v>28.55</v>
      </c>
      <c r="Q516" s="1">
        <v>45052</v>
      </c>
      <c r="R516" s="1">
        <v>45061</v>
      </c>
      <c r="S516" s="14">
        <f>Sales[[#This Row],[DeliveryDate]]-Sales[[#This Row],[OrderDate]]</f>
        <v>9</v>
      </c>
      <c r="T516" s="14" t="str">
        <f>IF(Sales[[#This Row],[Delivery Days]]&lt;=$W$2, "Timely", "Delayed")</f>
        <v>Delayed</v>
      </c>
      <c r="U516" t="s">
        <v>2924</v>
      </c>
    </row>
    <row r="517" spans="1:21" x14ac:dyDescent="0.25">
      <c r="A517" s="4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 s="6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1">
        <v>45611</v>
      </c>
      <c r="R517" s="1">
        <v>45613</v>
      </c>
      <c r="S517" s="14">
        <f>Sales[[#This Row],[DeliveryDate]]-Sales[[#This Row],[OrderDate]]</f>
        <v>2</v>
      </c>
      <c r="T517" s="14" t="str">
        <f>IF(Sales[[#This Row],[Delivery Days]]&lt;=$W$2, "Timely", "Delayed")</f>
        <v>Timely</v>
      </c>
      <c r="U517" t="s">
        <v>2922</v>
      </c>
    </row>
    <row r="518" spans="1:21" x14ac:dyDescent="0.25">
      <c r="A518" s="4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 s="6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1">
        <v>45471</v>
      </c>
      <c r="R518" s="1">
        <v>45478</v>
      </c>
      <c r="S518" s="14">
        <f>Sales[[#This Row],[DeliveryDate]]-Sales[[#This Row],[OrderDate]]</f>
        <v>7</v>
      </c>
      <c r="T518" s="14" t="str">
        <f>IF(Sales[[#This Row],[Delivery Days]]&lt;=$W$2, "Timely", "Delayed")</f>
        <v>Delayed</v>
      </c>
      <c r="U518" t="s">
        <v>2925</v>
      </c>
    </row>
    <row r="519" spans="1:21" x14ac:dyDescent="0.25">
      <c r="A519" s="4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 s="6">
        <v>578.55250000000001</v>
      </c>
      <c r="K519" t="s">
        <v>43</v>
      </c>
      <c r="L519" t="s">
        <v>2941</v>
      </c>
      <c r="M519">
        <v>0</v>
      </c>
      <c r="N519" t="s">
        <v>568</v>
      </c>
      <c r="O519" t="s">
        <v>2049</v>
      </c>
      <c r="P519">
        <v>10.02</v>
      </c>
      <c r="Q519" s="1">
        <v>45788</v>
      </c>
      <c r="R519" s="1">
        <v>45797</v>
      </c>
      <c r="S519" s="14">
        <f>Sales[[#This Row],[DeliveryDate]]-Sales[[#This Row],[OrderDate]]</f>
        <v>9</v>
      </c>
      <c r="T519" s="14" t="str">
        <f>IF(Sales[[#This Row],[Delivery Days]]&lt;=$W$2, "Timely", "Delayed")</f>
        <v>Delayed</v>
      </c>
      <c r="U519" t="s">
        <v>2925</v>
      </c>
    </row>
    <row r="520" spans="1:21" x14ac:dyDescent="0.25">
      <c r="A520" s="4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 s="6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1">
        <v>44983</v>
      </c>
      <c r="R520" s="1">
        <v>44989</v>
      </c>
      <c r="S520" s="14">
        <f>Sales[[#This Row],[DeliveryDate]]-Sales[[#This Row],[OrderDate]]</f>
        <v>6</v>
      </c>
      <c r="T520" s="14" t="str">
        <f>IF(Sales[[#This Row],[Delivery Days]]&lt;=$W$2, "Timely", "Delayed")</f>
        <v>Timely</v>
      </c>
      <c r="U520" t="s">
        <v>2925</v>
      </c>
    </row>
    <row r="521" spans="1:21" x14ac:dyDescent="0.25">
      <c r="A521" s="4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 s="6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1">
        <v>45412</v>
      </c>
      <c r="R521" s="1">
        <v>45419</v>
      </c>
      <c r="S521" s="14">
        <f>Sales[[#This Row],[DeliveryDate]]-Sales[[#This Row],[OrderDate]]</f>
        <v>7</v>
      </c>
      <c r="T521" s="14" t="str">
        <f>IF(Sales[[#This Row],[Delivery Days]]&lt;=$W$2, "Timely", "Delayed")</f>
        <v>Delayed</v>
      </c>
      <c r="U521" t="s">
        <v>2923</v>
      </c>
    </row>
    <row r="522" spans="1:21" x14ac:dyDescent="0.25">
      <c r="A522" s="4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 s="6">
        <v>705.12599999999998</v>
      </c>
      <c r="K522" t="s">
        <v>43</v>
      </c>
      <c r="L522" t="s">
        <v>2941</v>
      </c>
      <c r="M522">
        <v>1</v>
      </c>
      <c r="N522" t="s">
        <v>571</v>
      </c>
      <c r="O522" t="s">
        <v>2052</v>
      </c>
      <c r="P522">
        <v>31.4</v>
      </c>
      <c r="Q522" s="1">
        <v>45727</v>
      </c>
      <c r="R522" s="1">
        <v>45729</v>
      </c>
      <c r="S522" s="14">
        <f>Sales[[#This Row],[DeliveryDate]]-Sales[[#This Row],[OrderDate]]</f>
        <v>2</v>
      </c>
      <c r="T522" s="14" t="str">
        <f>IF(Sales[[#This Row],[Delivery Days]]&lt;=$W$2, "Timely", "Delayed")</f>
        <v>Timely</v>
      </c>
      <c r="U522" t="s">
        <v>2922</v>
      </c>
    </row>
    <row r="523" spans="1:21" x14ac:dyDescent="0.25">
      <c r="A523" s="4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 s="6">
        <v>5558.2979999999998</v>
      </c>
      <c r="K523" t="s">
        <v>47</v>
      </c>
      <c r="L523" t="s">
        <v>2941</v>
      </c>
      <c r="M523">
        <v>0</v>
      </c>
      <c r="N523" t="s">
        <v>572</v>
      </c>
      <c r="O523" t="s">
        <v>2053</v>
      </c>
      <c r="P523">
        <v>37.33</v>
      </c>
      <c r="Q523" s="1">
        <v>45838</v>
      </c>
      <c r="R523" s="1">
        <v>45848</v>
      </c>
      <c r="S523" s="14">
        <f>Sales[[#This Row],[DeliveryDate]]-Sales[[#This Row],[OrderDate]]</f>
        <v>10</v>
      </c>
      <c r="T523" s="14" t="str">
        <f>IF(Sales[[#This Row],[Delivery Days]]&lt;=$W$2, "Timely", "Delayed")</f>
        <v>Delayed</v>
      </c>
      <c r="U523" t="s">
        <v>2922</v>
      </c>
    </row>
    <row r="524" spans="1:21" x14ac:dyDescent="0.25">
      <c r="A524" s="4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 s="6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1">
        <v>45445</v>
      </c>
      <c r="R524" s="1">
        <v>45451</v>
      </c>
      <c r="S524" s="14">
        <f>Sales[[#This Row],[DeliveryDate]]-Sales[[#This Row],[OrderDate]]</f>
        <v>6</v>
      </c>
      <c r="T524" s="14" t="str">
        <f>IF(Sales[[#This Row],[Delivery Days]]&lt;=$W$2, "Timely", "Delayed")</f>
        <v>Timely</v>
      </c>
      <c r="U524" t="s">
        <v>2924</v>
      </c>
    </row>
    <row r="525" spans="1:21" x14ac:dyDescent="0.25">
      <c r="A525" s="4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 s="6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1">
        <v>45536</v>
      </c>
      <c r="R525" s="1">
        <v>45540</v>
      </c>
      <c r="S525" s="14">
        <f>Sales[[#This Row],[DeliveryDate]]-Sales[[#This Row],[OrderDate]]</f>
        <v>4</v>
      </c>
      <c r="T525" s="14" t="str">
        <f>IF(Sales[[#This Row],[Delivery Days]]&lt;=$W$2, "Timely", "Delayed")</f>
        <v>Timely</v>
      </c>
      <c r="U525" t="s">
        <v>2923</v>
      </c>
    </row>
    <row r="526" spans="1:21" x14ac:dyDescent="0.25">
      <c r="A526" s="4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 s="6">
        <v>2319.0300000000002</v>
      </c>
      <c r="K526" t="s">
        <v>47</v>
      </c>
      <c r="L526" t="s">
        <v>2941</v>
      </c>
      <c r="M526">
        <v>0</v>
      </c>
      <c r="N526" t="s">
        <v>575</v>
      </c>
      <c r="O526" t="s">
        <v>2056</v>
      </c>
      <c r="P526">
        <v>47.18</v>
      </c>
      <c r="Q526" s="1">
        <v>45668</v>
      </c>
      <c r="R526" s="1">
        <v>45675</v>
      </c>
      <c r="S526" s="14">
        <f>Sales[[#This Row],[DeliveryDate]]-Sales[[#This Row],[OrderDate]]</f>
        <v>7</v>
      </c>
      <c r="T526" s="14" t="str">
        <f>IF(Sales[[#This Row],[Delivery Days]]&lt;=$W$2, "Timely", "Delayed")</f>
        <v>Delayed</v>
      </c>
      <c r="U526" t="s">
        <v>2923</v>
      </c>
    </row>
    <row r="527" spans="1:21" x14ac:dyDescent="0.25">
      <c r="A527" s="4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 s="6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1">
        <v>45747</v>
      </c>
      <c r="R527" s="1">
        <v>45750</v>
      </c>
      <c r="S527" s="14">
        <f>Sales[[#This Row],[DeliveryDate]]-Sales[[#This Row],[OrderDate]]</f>
        <v>3</v>
      </c>
      <c r="T527" s="14" t="str">
        <f>IF(Sales[[#This Row],[Delivery Days]]&lt;=$W$2, "Timely", "Delayed")</f>
        <v>Timely</v>
      </c>
      <c r="U527" t="s">
        <v>2923</v>
      </c>
    </row>
    <row r="528" spans="1:21" x14ac:dyDescent="0.25">
      <c r="A528" s="4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 s="6">
        <v>1836.38</v>
      </c>
      <c r="K528" t="s">
        <v>43</v>
      </c>
      <c r="L528" t="s">
        <v>2941</v>
      </c>
      <c r="M528">
        <v>0</v>
      </c>
      <c r="N528" t="s">
        <v>577</v>
      </c>
      <c r="O528" t="s">
        <v>1871</v>
      </c>
      <c r="P528">
        <v>23.68</v>
      </c>
      <c r="Q528" s="1">
        <v>45624</v>
      </c>
      <c r="R528" s="1">
        <v>45631</v>
      </c>
      <c r="S528" s="14">
        <f>Sales[[#This Row],[DeliveryDate]]-Sales[[#This Row],[OrderDate]]</f>
        <v>7</v>
      </c>
      <c r="T528" s="14" t="str">
        <f>IF(Sales[[#This Row],[Delivery Days]]&lt;=$W$2, "Timely", "Delayed")</f>
        <v>Delayed</v>
      </c>
      <c r="U528" t="s">
        <v>2923</v>
      </c>
    </row>
    <row r="529" spans="1:21" x14ac:dyDescent="0.25">
      <c r="A529" s="4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 s="6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1">
        <v>45112</v>
      </c>
      <c r="R529" s="1">
        <v>45114</v>
      </c>
      <c r="S529" s="14">
        <f>Sales[[#This Row],[DeliveryDate]]-Sales[[#This Row],[OrderDate]]</f>
        <v>2</v>
      </c>
      <c r="T529" s="14" t="str">
        <f>IF(Sales[[#This Row],[Delivery Days]]&lt;=$W$2, "Timely", "Delayed")</f>
        <v>Timely</v>
      </c>
      <c r="U529" t="s">
        <v>2924</v>
      </c>
    </row>
    <row r="530" spans="1:21" x14ac:dyDescent="0.25">
      <c r="A530" s="4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 s="6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1">
        <v>45589</v>
      </c>
      <c r="R530" s="1">
        <v>45599</v>
      </c>
      <c r="S530" s="14">
        <f>Sales[[#This Row],[DeliveryDate]]-Sales[[#This Row],[OrderDate]]</f>
        <v>10</v>
      </c>
      <c r="T530" s="14" t="str">
        <f>IF(Sales[[#This Row],[Delivery Days]]&lt;=$W$2, "Timely", "Delayed")</f>
        <v>Delayed</v>
      </c>
      <c r="U530" t="s">
        <v>2926</v>
      </c>
    </row>
    <row r="531" spans="1:21" x14ac:dyDescent="0.25">
      <c r="A531" s="4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 s="6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1">
        <v>45755</v>
      </c>
      <c r="R531" s="1">
        <v>45763</v>
      </c>
      <c r="S531" s="14">
        <f>Sales[[#This Row],[DeliveryDate]]-Sales[[#This Row],[OrderDate]]</f>
        <v>8</v>
      </c>
      <c r="T531" s="14" t="str">
        <f>IF(Sales[[#This Row],[Delivery Days]]&lt;=$W$2, "Timely", "Delayed")</f>
        <v>Delayed</v>
      </c>
      <c r="U531" t="s">
        <v>2924</v>
      </c>
    </row>
    <row r="532" spans="1:21" x14ac:dyDescent="0.25">
      <c r="A532" s="4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 s="6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1">
        <v>45448</v>
      </c>
      <c r="R532" s="1">
        <v>45453</v>
      </c>
      <c r="S532" s="14">
        <f>Sales[[#This Row],[DeliveryDate]]-Sales[[#This Row],[OrderDate]]</f>
        <v>5</v>
      </c>
      <c r="T532" s="14" t="str">
        <f>IF(Sales[[#This Row],[Delivery Days]]&lt;=$W$2, "Timely", "Delayed")</f>
        <v>Timely</v>
      </c>
      <c r="U532" t="s">
        <v>2922</v>
      </c>
    </row>
    <row r="533" spans="1:21" x14ac:dyDescent="0.25">
      <c r="A533" s="4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 s="6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1">
        <v>45680</v>
      </c>
      <c r="R533" s="1">
        <v>45686</v>
      </c>
      <c r="S533" s="14">
        <f>Sales[[#This Row],[DeliveryDate]]-Sales[[#This Row],[OrderDate]]</f>
        <v>6</v>
      </c>
      <c r="T533" s="14" t="str">
        <f>IF(Sales[[#This Row],[Delivery Days]]&lt;=$W$2, "Timely", "Delayed")</f>
        <v>Timely</v>
      </c>
      <c r="U533" t="s">
        <v>2926</v>
      </c>
    </row>
    <row r="534" spans="1:21" x14ac:dyDescent="0.25">
      <c r="A534" s="4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 s="6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1">
        <v>45600</v>
      </c>
      <c r="R534" s="1">
        <v>45608</v>
      </c>
      <c r="S534" s="14">
        <f>Sales[[#This Row],[DeliveryDate]]-Sales[[#This Row],[OrderDate]]</f>
        <v>8</v>
      </c>
      <c r="T534" s="14" t="str">
        <f>IF(Sales[[#This Row],[Delivery Days]]&lt;=$W$2, "Timely", "Delayed")</f>
        <v>Delayed</v>
      </c>
      <c r="U534" t="s">
        <v>2925</v>
      </c>
    </row>
    <row r="535" spans="1:21" x14ac:dyDescent="0.25">
      <c r="A535" s="4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 s="6">
        <v>2261.6035000000002</v>
      </c>
      <c r="K535" t="s">
        <v>43</v>
      </c>
      <c r="L535" t="s">
        <v>2941</v>
      </c>
      <c r="M535">
        <v>0</v>
      </c>
      <c r="N535" t="s">
        <v>584</v>
      </c>
      <c r="O535" t="s">
        <v>2063</v>
      </c>
      <c r="P535">
        <v>6.76</v>
      </c>
      <c r="Q535" s="1">
        <v>45292</v>
      </c>
      <c r="R535" s="1">
        <v>45296</v>
      </c>
      <c r="S535" s="14">
        <f>Sales[[#This Row],[DeliveryDate]]-Sales[[#This Row],[OrderDate]]</f>
        <v>4</v>
      </c>
      <c r="T535" s="14" t="str">
        <f>IF(Sales[[#This Row],[Delivery Days]]&lt;=$W$2, "Timely", "Delayed")</f>
        <v>Timely</v>
      </c>
      <c r="U535" t="s">
        <v>2926</v>
      </c>
    </row>
    <row r="536" spans="1:21" x14ac:dyDescent="0.25">
      <c r="A536" s="4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 s="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1">
        <v>45391</v>
      </c>
      <c r="R536" s="1">
        <v>45399</v>
      </c>
      <c r="S536" s="14">
        <f>Sales[[#This Row],[DeliveryDate]]-Sales[[#This Row],[OrderDate]]</f>
        <v>8</v>
      </c>
      <c r="T536" s="14" t="str">
        <f>IF(Sales[[#This Row],[Delivery Days]]&lt;=$W$2, "Timely", "Delayed")</f>
        <v>Delayed</v>
      </c>
      <c r="U536" t="s">
        <v>2925</v>
      </c>
    </row>
    <row r="537" spans="1:21" x14ac:dyDescent="0.25">
      <c r="A537" s="4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 s="6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1">
        <v>45674</v>
      </c>
      <c r="R537" s="1">
        <v>45682</v>
      </c>
      <c r="S537" s="14">
        <f>Sales[[#This Row],[DeliveryDate]]-Sales[[#This Row],[OrderDate]]</f>
        <v>8</v>
      </c>
      <c r="T537" s="14" t="str">
        <f>IF(Sales[[#This Row],[Delivery Days]]&lt;=$W$2, "Timely", "Delayed")</f>
        <v>Delayed</v>
      </c>
      <c r="U537" t="s">
        <v>2924</v>
      </c>
    </row>
    <row r="538" spans="1:21" x14ac:dyDescent="0.25">
      <c r="A538" s="4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 s="6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1">
        <v>45557</v>
      </c>
      <c r="R538" s="1">
        <v>45564</v>
      </c>
      <c r="S538" s="14">
        <f>Sales[[#This Row],[DeliveryDate]]-Sales[[#This Row],[OrderDate]]</f>
        <v>7</v>
      </c>
      <c r="T538" s="14" t="str">
        <f>IF(Sales[[#This Row],[Delivery Days]]&lt;=$W$2, "Timely", "Delayed")</f>
        <v>Delayed</v>
      </c>
      <c r="U538" t="s">
        <v>2922</v>
      </c>
    </row>
    <row r="539" spans="1:21" x14ac:dyDescent="0.25">
      <c r="A539" s="4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 s="6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1">
        <v>44946</v>
      </c>
      <c r="R539" s="1">
        <v>44951</v>
      </c>
      <c r="S539" s="14">
        <f>Sales[[#This Row],[DeliveryDate]]-Sales[[#This Row],[OrderDate]]</f>
        <v>5</v>
      </c>
      <c r="T539" s="14" t="str">
        <f>IF(Sales[[#This Row],[Delivery Days]]&lt;=$W$2, "Timely", "Delayed")</f>
        <v>Timely</v>
      </c>
      <c r="U539" t="s">
        <v>2922</v>
      </c>
    </row>
    <row r="540" spans="1:21" x14ac:dyDescent="0.25">
      <c r="A540" s="4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 s="6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1">
        <v>45303</v>
      </c>
      <c r="R540" s="1">
        <v>45313</v>
      </c>
      <c r="S540" s="14">
        <f>Sales[[#This Row],[DeliveryDate]]-Sales[[#This Row],[OrderDate]]</f>
        <v>10</v>
      </c>
      <c r="T540" s="14" t="str">
        <f>IF(Sales[[#This Row],[Delivery Days]]&lt;=$W$2, "Timely", "Delayed")</f>
        <v>Delayed</v>
      </c>
      <c r="U540" t="s">
        <v>2924</v>
      </c>
    </row>
    <row r="541" spans="1:21" x14ac:dyDescent="0.25">
      <c r="A541" s="4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 s="6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1">
        <v>45390</v>
      </c>
      <c r="R541" s="1">
        <v>45397</v>
      </c>
      <c r="S541" s="14">
        <f>Sales[[#This Row],[DeliveryDate]]-Sales[[#This Row],[OrderDate]]</f>
        <v>7</v>
      </c>
      <c r="T541" s="14" t="str">
        <f>IF(Sales[[#This Row],[Delivery Days]]&lt;=$W$2, "Timely", "Delayed")</f>
        <v>Delayed</v>
      </c>
      <c r="U541" t="s">
        <v>2925</v>
      </c>
    </row>
    <row r="542" spans="1:21" x14ac:dyDescent="0.25">
      <c r="A542" s="4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 s="6">
        <v>4990.32</v>
      </c>
      <c r="K542" t="s">
        <v>43</v>
      </c>
      <c r="L542" t="s">
        <v>2941</v>
      </c>
      <c r="M542">
        <v>0</v>
      </c>
      <c r="N542" t="s">
        <v>591</v>
      </c>
      <c r="O542" t="s">
        <v>2070</v>
      </c>
      <c r="P542">
        <v>48.26</v>
      </c>
      <c r="Q542" s="1">
        <v>45043</v>
      </c>
      <c r="R542" s="1">
        <v>45047</v>
      </c>
      <c r="S542" s="14">
        <f>Sales[[#This Row],[DeliveryDate]]-Sales[[#This Row],[OrderDate]]</f>
        <v>4</v>
      </c>
      <c r="T542" s="14" t="str">
        <f>IF(Sales[[#This Row],[Delivery Days]]&lt;=$W$2, "Timely", "Delayed")</f>
        <v>Timely</v>
      </c>
      <c r="U542" t="s">
        <v>2925</v>
      </c>
    </row>
    <row r="543" spans="1:21" x14ac:dyDescent="0.25">
      <c r="A543" s="4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 s="6">
        <v>1278.2639999999999</v>
      </c>
      <c r="K543" t="s">
        <v>46</v>
      </c>
      <c r="L543" t="s">
        <v>2941</v>
      </c>
      <c r="M543">
        <v>0</v>
      </c>
      <c r="N543" t="s">
        <v>592</v>
      </c>
      <c r="O543" t="s">
        <v>2071</v>
      </c>
      <c r="P543">
        <v>44.99</v>
      </c>
      <c r="Q543" s="1">
        <v>45490</v>
      </c>
      <c r="R543" s="1">
        <v>45498</v>
      </c>
      <c r="S543" s="14">
        <f>Sales[[#This Row],[DeliveryDate]]-Sales[[#This Row],[OrderDate]]</f>
        <v>8</v>
      </c>
      <c r="T543" s="14" t="str">
        <f>IF(Sales[[#This Row],[Delivery Days]]&lt;=$W$2, "Timely", "Delayed")</f>
        <v>Delayed</v>
      </c>
      <c r="U543" t="s">
        <v>2924</v>
      </c>
    </row>
    <row r="544" spans="1:21" x14ac:dyDescent="0.25">
      <c r="A544" s="4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 s="6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1">
        <v>45339</v>
      </c>
      <c r="R544" s="1">
        <v>45345</v>
      </c>
      <c r="S544" s="14">
        <f>Sales[[#This Row],[DeliveryDate]]-Sales[[#This Row],[OrderDate]]</f>
        <v>6</v>
      </c>
      <c r="T544" s="14" t="str">
        <f>IF(Sales[[#This Row],[Delivery Days]]&lt;=$W$2, "Timely", "Delayed")</f>
        <v>Timely</v>
      </c>
      <c r="U544" t="s">
        <v>2925</v>
      </c>
    </row>
    <row r="545" spans="1:21" x14ac:dyDescent="0.25">
      <c r="A545" s="4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 s="6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1">
        <v>45316</v>
      </c>
      <c r="R545" s="1">
        <v>45324</v>
      </c>
      <c r="S545" s="14">
        <f>Sales[[#This Row],[DeliveryDate]]-Sales[[#This Row],[OrderDate]]</f>
        <v>8</v>
      </c>
      <c r="T545" s="14" t="str">
        <f>IF(Sales[[#This Row],[Delivery Days]]&lt;=$W$2, "Timely", "Delayed")</f>
        <v>Delayed</v>
      </c>
      <c r="U545" t="s">
        <v>2923</v>
      </c>
    </row>
    <row r="546" spans="1:21" x14ac:dyDescent="0.25">
      <c r="A546" s="4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 s="6">
        <v>983.71</v>
      </c>
      <c r="K546" t="s">
        <v>46</v>
      </c>
      <c r="L546" t="s">
        <v>2941</v>
      </c>
      <c r="M546">
        <v>1</v>
      </c>
      <c r="N546" t="s">
        <v>595</v>
      </c>
      <c r="O546" t="s">
        <v>2074</v>
      </c>
      <c r="P546">
        <v>24.53</v>
      </c>
      <c r="Q546" s="1">
        <v>45375</v>
      </c>
      <c r="R546" s="1">
        <v>45384</v>
      </c>
      <c r="S546" s="14">
        <f>Sales[[#This Row],[DeliveryDate]]-Sales[[#This Row],[OrderDate]]</f>
        <v>9</v>
      </c>
      <c r="T546" s="14" t="str">
        <f>IF(Sales[[#This Row],[Delivery Days]]&lt;=$W$2, "Timely", "Delayed")</f>
        <v>Delayed</v>
      </c>
      <c r="U546" t="s">
        <v>2925</v>
      </c>
    </row>
    <row r="547" spans="1:21" x14ac:dyDescent="0.25">
      <c r="A547" s="4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 s="6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1">
        <v>45102</v>
      </c>
      <c r="R547" s="1">
        <v>45104</v>
      </c>
      <c r="S547" s="14">
        <f>Sales[[#This Row],[DeliveryDate]]-Sales[[#This Row],[OrderDate]]</f>
        <v>2</v>
      </c>
      <c r="T547" s="14" t="str">
        <f>IF(Sales[[#This Row],[Delivery Days]]&lt;=$W$2, "Timely", "Delayed")</f>
        <v>Timely</v>
      </c>
      <c r="U547" t="s">
        <v>2924</v>
      </c>
    </row>
    <row r="548" spans="1:21" x14ac:dyDescent="0.25">
      <c r="A548" s="4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 s="6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1">
        <v>45033</v>
      </c>
      <c r="R548" s="1">
        <v>45036</v>
      </c>
      <c r="S548" s="14">
        <f>Sales[[#This Row],[DeliveryDate]]-Sales[[#This Row],[OrderDate]]</f>
        <v>3</v>
      </c>
      <c r="T548" s="14" t="str">
        <f>IF(Sales[[#This Row],[Delivery Days]]&lt;=$W$2, "Timely", "Delayed")</f>
        <v>Timely</v>
      </c>
      <c r="U548" t="s">
        <v>2923</v>
      </c>
    </row>
    <row r="549" spans="1:21" x14ac:dyDescent="0.25">
      <c r="A549" s="4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 s="6">
        <v>4106.34</v>
      </c>
      <c r="K549" t="s">
        <v>44</v>
      </c>
      <c r="L549" t="s">
        <v>2941</v>
      </c>
      <c r="M549">
        <v>0</v>
      </c>
      <c r="N549" t="s">
        <v>598</v>
      </c>
      <c r="O549" t="s">
        <v>2077</v>
      </c>
      <c r="P549">
        <v>21.61</v>
      </c>
      <c r="Q549" s="1">
        <v>45105</v>
      </c>
      <c r="R549" s="1">
        <v>45107</v>
      </c>
      <c r="S549" s="14">
        <f>Sales[[#This Row],[DeliveryDate]]-Sales[[#This Row],[OrderDate]]</f>
        <v>2</v>
      </c>
      <c r="T549" s="14" t="str">
        <f>IF(Sales[[#This Row],[Delivery Days]]&lt;=$W$2, "Timely", "Delayed")</f>
        <v>Timely</v>
      </c>
      <c r="U549" t="s">
        <v>2922</v>
      </c>
    </row>
    <row r="550" spans="1:21" x14ac:dyDescent="0.25">
      <c r="A550" s="4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 s="6">
        <v>3377.8150000000001</v>
      </c>
      <c r="K550" t="s">
        <v>44</v>
      </c>
      <c r="L550" t="s">
        <v>2941</v>
      </c>
      <c r="M550">
        <v>0</v>
      </c>
      <c r="N550" t="s">
        <v>599</v>
      </c>
      <c r="O550" t="s">
        <v>2078</v>
      </c>
      <c r="P550">
        <v>25.27</v>
      </c>
      <c r="Q550" s="1">
        <v>45388</v>
      </c>
      <c r="R550" s="1">
        <v>45398</v>
      </c>
      <c r="S550" s="14">
        <f>Sales[[#This Row],[DeliveryDate]]-Sales[[#This Row],[OrderDate]]</f>
        <v>10</v>
      </c>
      <c r="T550" s="14" t="str">
        <f>IF(Sales[[#This Row],[Delivery Days]]&lt;=$W$2, "Timely", "Delayed")</f>
        <v>Delayed</v>
      </c>
      <c r="U550" t="s">
        <v>2925</v>
      </c>
    </row>
    <row r="551" spans="1:21" x14ac:dyDescent="0.25">
      <c r="A551" s="4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 s="6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1">
        <v>45705</v>
      </c>
      <c r="R551" s="1">
        <v>45707</v>
      </c>
      <c r="S551" s="14">
        <f>Sales[[#This Row],[DeliveryDate]]-Sales[[#This Row],[OrderDate]]</f>
        <v>2</v>
      </c>
      <c r="T551" s="14" t="str">
        <f>IF(Sales[[#This Row],[Delivery Days]]&lt;=$W$2, "Timely", "Delayed")</f>
        <v>Timely</v>
      </c>
      <c r="U551" t="s">
        <v>2923</v>
      </c>
    </row>
    <row r="552" spans="1:21" x14ac:dyDescent="0.25">
      <c r="A552" s="4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 s="6">
        <v>3490.02</v>
      </c>
      <c r="K552" t="s">
        <v>46</v>
      </c>
      <c r="L552" t="s">
        <v>2941</v>
      </c>
      <c r="M552">
        <v>0</v>
      </c>
      <c r="N552" t="s">
        <v>601</v>
      </c>
      <c r="O552" t="s">
        <v>2080</v>
      </c>
      <c r="P552">
        <v>39.4</v>
      </c>
      <c r="Q552" s="1">
        <v>44934</v>
      </c>
      <c r="R552" s="1">
        <v>44937</v>
      </c>
      <c r="S552" s="14">
        <f>Sales[[#This Row],[DeliveryDate]]-Sales[[#This Row],[OrderDate]]</f>
        <v>3</v>
      </c>
      <c r="T552" s="14" t="str">
        <f>IF(Sales[[#This Row],[Delivery Days]]&lt;=$W$2, "Timely", "Delayed")</f>
        <v>Timely</v>
      </c>
      <c r="U552" t="s">
        <v>2923</v>
      </c>
    </row>
    <row r="553" spans="1:21" x14ac:dyDescent="0.25">
      <c r="A553" s="4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 s="6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1">
        <v>45281</v>
      </c>
      <c r="R553" s="1">
        <v>45291</v>
      </c>
      <c r="S553" s="14">
        <f>Sales[[#This Row],[DeliveryDate]]-Sales[[#This Row],[OrderDate]]</f>
        <v>10</v>
      </c>
      <c r="T553" s="14" t="str">
        <f>IF(Sales[[#This Row],[Delivery Days]]&lt;=$W$2, "Timely", "Delayed")</f>
        <v>Delayed</v>
      </c>
      <c r="U553" t="s">
        <v>2923</v>
      </c>
    </row>
    <row r="554" spans="1:21" x14ac:dyDescent="0.25">
      <c r="A554" s="4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 s="6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1">
        <v>45486</v>
      </c>
      <c r="R554" s="1">
        <v>45488</v>
      </c>
      <c r="S554" s="14">
        <f>Sales[[#This Row],[DeliveryDate]]-Sales[[#This Row],[OrderDate]]</f>
        <v>2</v>
      </c>
      <c r="T554" s="14" t="str">
        <f>IF(Sales[[#This Row],[Delivery Days]]&lt;=$W$2, "Timely", "Delayed")</f>
        <v>Timely</v>
      </c>
      <c r="U554" t="s">
        <v>2924</v>
      </c>
    </row>
    <row r="555" spans="1:21" x14ac:dyDescent="0.25">
      <c r="A555" s="4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 s="6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1">
        <v>45374</v>
      </c>
      <c r="R555" s="1">
        <v>45383</v>
      </c>
      <c r="S555" s="14">
        <f>Sales[[#This Row],[DeliveryDate]]-Sales[[#This Row],[OrderDate]]</f>
        <v>9</v>
      </c>
      <c r="T555" s="14" t="str">
        <f>IF(Sales[[#This Row],[Delivery Days]]&lt;=$W$2, "Timely", "Delayed")</f>
        <v>Delayed</v>
      </c>
      <c r="U555" t="s">
        <v>2926</v>
      </c>
    </row>
    <row r="556" spans="1:21" x14ac:dyDescent="0.25">
      <c r="A556" s="4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 s="6">
        <v>109.55</v>
      </c>
      <c r="K556" t="s">
        <v>46</v>
      </c>
      <c r="L556" t="s">
        <v>2941</v>
      </c>
      <c r="M556">
        <v>0</v>
      </c>
      <c r="N556" t="s">
        <v>605</v>
      </c>
      <c r="O556" t="s">
        <v>2084</v>
      </c>
      <c r="P556">
        <v>13.28</v>
      </c>
      <c r="Q556" s="1">
        <v>45370</v>
      </c>
      <c r="R556" s="1">
        <v>45376</v>
      </c>
      <c r="S556" s="14">
        <f>Sales[[#This Row],[DeliveryDate]]-Sales[[#This Row],[OrderDate]]</f>
        <v>6</v>
      </c>
      <c r="T556" s="14" t="str">
        <f>IF(Sales[[#This Row],[Delivery Days]]&lt;=$W$2, "Timely", "Delayed")</f>
        <v>Timely</v>
      </c>
      <c r="U556" t="s">
        <v>2926</v>
      </c>
    </row>
    <row r="557" spans="1:21" x14ac:dyDescent="0.25">
      <c r="A557" s="4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 s="6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1">
        <v>45797</v>
      </c>
      <c r="R557" s="1">
        <v>45806</v>
      </c>
      <c r="S557" s="14">
        <f>Sales[[#This Row],[DeliveryDate]]-Sales[[#This Row],[OrderDate]]</f>
        <v>9</v>
      </c>
      <c r="T557" s="14" t="str">
        <f>IF(Sales[[#This Row],[Delivery Days]]&lt;=$W$2, "Timely", "Delayed")</f>
        <v>Delayed</v>
      </c>
      <c r="U557" t="s">
        <v>2925</v>
      </c>
    </row>
    <row r="558" spans="1:21" x14ac:dyDescent="0.25">
      <c r="A558" s="4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 s="6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1">
        <v>45676</v>
      </c>
      <c r="R558" s="1">
        <v>45683</v>
      </c>
      <c r="S558" s="14">
        <f>Sales[[#This Row],[DeliveryDate]]-Sales[[#This Row],[OrderDate]]</f>
        <v>7</v>
      </c>
      <c r="T558" s="14" t="str">
        <f>IF(Sales[[#This Row],[Delivery Days]]&lt;=$W$2, "Timely", "Delayed")</f>
        <v>Delayed</v>
      </c>
      <c r="U558" t="s">
        <v>2923</v>
      </c>
    </row>
    <row r="559" spans="1:21" x14ac:dyDescent="0.25">
      <c r="A559" s="4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 s="6">
        <v>8480.0249999999996</v>
      </c>
      <c r="K559" t="s">
        <v>46</v>
      </c>
      <c r="L559" t="s">
        <v>2941</v>
      </c>
      <c r="M559">
        <v>0</v>
      </c>
      <c r="N559" t="s">
        <v>608</v>
      </c>
      <c r="O559" t="s">
        <v>2086</v>
      </c>
      <c r="P559">
        <v>8.66</v>
      </c>
      <c r="Q559" s="1">
        <v>45074</v>
      </c>
      <c r="R559" s="1">
        <v>45078</v>
      </c>
      <c r="S559" s="14">
        <f>Sales[[#This Row],[DeliveryDate]]-Sales[[#This Row],[OrderDate]]</f>
        <v>4</v>
      </c>
      <c r="T559" s="14" t="str">
        <f>IF(Sales[[#This Row],[Delivery Days]]&lt;=$W$2, "Timely", "Delayed")</f>
        <v>Timely</v>
      </c>
      <c r="U559" t="s">
        <v>2923</v>
      </c>
    </row>
    <row r="560" spans="1:21" x14ac:dyDescent="0.25">
      <c r="A560" s="4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 s="6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1">
        <v>45227</v>
      </c>
      <c r="R560" s="1">
        <v>45233</v>
      </c>
      <c r="S560" s="14">
        <f>Sales[[#This Row],[DeliveryDate]]-Sales[[#This Row],[OrderDate]]</f>
        <v>6</v>
      </c>
      <c r="T560" s="14" t="str">
        <f>IF(Sales[[#This Row],[Delivery Days]]&lt;=$W$2, "Timely", "Delayed")</f>
        <v>Timely</v>
      </c>
      <c r="U560" t="s">
        <v>2922</v>
      </c>
    </row>
    <row r="561" spans="1:21" x14ac:dyDescent="0.25">
      <c r="A561" s="4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 s="6">
        <v>496.15</v>
      </c>
      <c r="K561" t="s">
        <v>46</v>
      </c>
      <c r="L561" t="s">
        <v>2941</v>
      </c>
      <c r="M561">
        <v>0</v>
      </c>
      <c r="N561" t="s">
        <v>610</v>
      </c>
      <c r="O561" t="s">
        <v>2088</v>
      </c>
      <c r="P561">
        <v>37.659999999999997</v>
      </c>
      <c r="Q561" s="1">
        <v>45255</v>
      </c>
      <c r="R561" s="1">
        <v>45262</v>
      </c>
      <c r="S561" s="14">
        <f>Sales[[#This Row],[DeliveryDate]]-Sales[[#This Row],[OrderDate]]</f>
        <v>7</v>
      </c>
      <c r="T561" s="14" t="str">
        <f>IF(Sales[[#This Row],[Delivery Days]]&lt;=$W$2, "Timely", "Delayed")</f>
        <v>Delayed</v>
      </c>
      <c r="U561" t="s">
        <v>2926</v>
      </c>
    </row>
    <row r="562" spans="1:21" x14ac:dyDescent="0.25">
      <c r="A562" s="4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 s="6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1">
        <v>45613</v>
      </c>
      <c r="R562" s="1">
        <v>45620</v>
      </c>
      <c r="S562" s="14">
        <f>Sales[[#This Row],[DeliveryDate]]-Sales[[#This Row],[OrderDate]]</f>
        <v>7</v>
      </c>
      <c r="T562" s="14" t="str">
        <f>IF(Sales[[#This Row],[Delivery Days]]&lt;=$W$2, "Timely", "Delayed")</f>
        <v>Delayed</v>
      </c>
      <c r="U562" t="s">
        <v>2923</v>
      </c>
    </row>
    <row r="563" spans="1:21" x14ac:dyDescent="0.25">
      <c r="A563" s="4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 s="6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1">
        <v>45315</v>
      </c>
      <c r="R563" s="1">
        <v>45320</v>
      </c>
      <c r="S563" s="14">
        <f>Sales[[#This Row],[DeliveryDate]]-Sales[[#This Row],[OrderDate]]</f>
        <v>5</v>
      </c>
      <c r="T563" s="14" t="str">
        <f>IF(Sales[[#This Row],[Delivery Days]]&lt;=$W$2, "Timely", "Delayed")</f>
        <v>Timely</v>
      </c>
      <c r="U563" t="s">
        <v>2925</v>
      </c>
    </row>
    <row r="564" spans="1:21" x14ac:dyDescent="0.25">
      <c r="A564" s="4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 s="6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1">
        <v>45096</v>
      </c>
      <c r="R564" s="1">
        <v>45106</v>
      </c>
      <c r="S564" s="14">
        <f>Sales[[#This Row],[DeliveryDate]]-Sales[[#This Row],[OrderDate]]</f>
        <v>10</v>
      </c>
      <c r="T564" s="14" t="str">
        <f>IF(Sales[[#This Row],[Delivery Days]]&lt;=$W$2, "Timely", "Delayed")</f>
        <v>Delayed</v>
      </c>
      <c r="U564" t="s">
        <v>2924</v>
      </c>
    </row>
    <row r="565" spans="1:21" x14ac:dyDescent="0.25">
      <c r="A565" s="4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 s="6">
        <v>4483.75</v>
      </c>
      <c r="K565" t="s">
        <v>43</v>
      </c>
      <c r="L565" t="s">
        <v>2941</v>
      </c>
      <c r="M565">
        <v>1</v>
      </c>
      <c r="N565" t="s">
        <v>614</v>
      </c>
      <c r="O565" t="s">
        <v>2092</v>
      </c>
      <c r="P565">
        <v>12.97</v>
      </c>
      <c r="Q565" s="1">
        <v>45670</v>
      </c>
      <c r="R565" s="1">
        <v>45675</v>
      </c>
      <c r="S565" s="14">
        <f>Sales[[#This Row],[DeliveryDate]]-Sales[[#This Row],[OrderDate]]</f>
        <v>5</v>
      </c>
      <c r="T565" s="14" t="str">
        <f>IF(Sales[[#This Row],[Delivery Days]]&lt;=$W$2, "Timely", "Delayed")</f>
        <v>Timely</v>
      </c>
      <c r="U565" t="s">
        <v>2922</v>
      </c>
    </row>
    <row r="566" spans="1:21" x14ac:dyDescent="0.25">
      <c r="A566" s="4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 s="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1">
        <v>45315</v>
      </c>
      <c r="R566" s="1">
        <v>45323</v>
      </c>
      <c r="S566" s="14">
        <f>Sales[[#This Row],[DeliveryDate]]-Sales[[#This Row],[OrderDate]]</f>
        <v>8</v>
      </c>
      <c r="T566" s="14" t="str">
        <f>IF(Sales[[#This Row],[Delivery Days]]&lt;=$W$2, "Timely", "Delayed")</f>
        <v>Delayed</v>
      </c>
      <c r="U566" t="s">
        <v>2922</v>
      </c>
    </row>
    <row r="567" spans="1:21" x14ac:dyDescent="0.25">
      <c r="A567" s="4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 s="6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1">
        <v>45663</v>
      </c>
      <c r="R567" s="1">
        <v>45671</v>
      </c>
      <c r="S567" s="14">
        <f>Sales[[#This Row],[DeliveryDate]]-Sales[[#This Row],[OrderDate]]</f>
        <v>8</v>
      </c>
      <c r="T567" s="14" t="str">
        <f>IF(Sales[[#This Row],[Delivery Days]]&lt;=$W$2, "Timely", "Delayed")</f>
        <v>Delayed</v>
      </c>
      <c r="U567" t="s">
        <v>2923</v>
      </c>
    </row>
    <row r="568" spans="1:21" x14ac:dyDescent="0.25">
      <c r="A568" s="4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 s="6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1">
        <v>45659</v>
      </c>
      <c r="R568" s="1">
        <v>45666</v>
      </c>
      <c r="S568" s="14">
        <f>Sales[[#This Row],[DeliveryDate]]-Sales[[#This Row],[OrderDate]]</f>
        <v>7</v>
      </c>
      <c r="T568" s="14" t="str">
        <f>IF(Sales[[#This Row],[Delivery Days]]&lt;=$W$2, "Timely", "Delayed")</f>
        <v>Delayed</v>
      </c>
      <c r="U568" t="s">
        <v>2925</v>
      </c>
    </row>
    <row r="569" spans="1:21" x14ac:dyDescent="0.25">
      <c r="A569" s="4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 s="6">
        <v>309.45600000000002</v>
      </c>
      <c r="K569" t="s">
        <v>45</v>
      </c>
      <c r="L569" t="s">
        <v>2941</v>
      </c>
      <c r="M569">
        <v>0</v>
      </c>
      <c r="N569" t="s">
        <v>618</v>
      </c>
      <c r="O569" t="s">
        <v>2096</v>
      </c>
      <c r="P569">
        <v>32.119999999999997</v>
      </c>
      <c r="Q569" s="1">
        <v>44979</v>
      </c>
      <c r="R569" s="1">
        <v>44988</v>
      </c>
      <c r="S569" s="14">
        <f>Sales[[#This Row],[DeliveryDate]]-Sales[[#This Row],[OrderDate]]</f>
        <v>9</v>
      </c>
      <c r="T569" s="14" t="str">
        <f>IF(Sales[[#This Row],[Delivery Days]]&lt;=$W$2, "Timely", "Delayed")</f>
        <v>Delayed</v>
      </c>
      <c r="U569" t="s">
        <v>2924</v>
      </c>
    </row>
    <row r="570" spans="1:21" x14ac:dyDescent="0.25">
      <c r="A570" s="4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 s="6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1">
        <v>45694</v>
      </c>
      <c r="R570" s="1">
        <v>45704</v>
      </c>
      <c r="S570" s="14">
        <f>Sales[[#This Row],[DeliveryDate]]-Sales[[#This Row],[OrderDate]]</f>
        <v>10</v>
      </c>
      <c r="T570" s="14" t="str">
        <f>IF(Sales[[#This Row],[Delivery Days]]&lt;=$W$2, "Timely", "Delayed")</f>
        <v>Delayed</v>
      </c>
      <c r="U570" t="s">
        <v>2922</v>
      </c>
    </row>
    <row r="571" spans="1:21" x14ac:dyDescent="0.25">
      <c r="A571" s="4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 s="6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1">
        <v>45561</v>
      </c>
      <c r="R571" s="1">
        <v>45565</v>
      </c>
      <c r="S571" s="14">
        <f>Sales[[#This Row],[DeliveryDate]]-Sales[[#This Row],[OrderDate]]</f>
        <v>4</v>
      </c>
      <c r="T571" s="14" t="str">
        <f>IF(Sales[[#This Row],[Delivery Days]]&lt;=$W$2, "Timely", "Delayed")</f>
        <v>Timely</v>
      </c>
      <c r="U571" t="s">
        <v>2922</v>
      </c>
    </row>
    <row r="572" spans="1:21" x14ac:dyDescent="0.25">
      <c r="A572" s="4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 s="6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1">
        <v>45744</v>
      </c>
      <c r="R572" s="1">
        <v>45748</v>
      </c>
      <c r="S572" s="14">
        <f>Sales[[#This Row],[DeliveryDate]]-Sales[[#This Row],[OrderDate]]</f>
        <v>4</v>
      </c>
      <c r="T572" s="14" t="str">
        <f>IF(Sales[[#This Row],[Delivery Days]]&lt;=$W$2, "Timely", "Delayed")</f>
        <v>Timely</v>
      </c>
      <c r="U572" t="s">
        <v>2924</v>
      </c>
    </row>
    <row r="573" spans="1:21" x14ac:dyDescent="0.25">
      <c r="A573" s="4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 s="6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1">
        <v>45108</v>
      </c>
      <c r="R573" s="1">
        <v>45116</v>
      </c>
      <c r="S573" s="14">
        <f>Sales[[#This Row],[DeliveryDate]]-Sales[[#This Row],[OrderDate]]</f>
        <v>8</v>
      </c>
      <c r="T573" s="14" t="str">
        <f>IF(Sales[[#This Row],[Delivery Days]]&lt;=$W$2, "Timely", "Delayed")</f>
        <v>Delayed</v>
      </c>
      <c r="U573" t="s">
        <v>2922</v>
      </c>
    </row>
    <row r="574" spans="1:21" x14ac:dyDescent="0.25">
      <c r="A574" s="4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 s="6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1">
        <v>45045</v>
      </c>
      <c r="R574" s="1">
        <v>45050</v>
      </c>
      <c r="S574" s="14">
        <f>Sales[[#This Row],[DeliveryDate]]-Sales[[#This Row],[OrderDate]]</f>
        <v>5</v>
      </c>
      <c r="T574" s="14" t="str">
        <f>IF(Sales[[#This Row],[Delivery Days]]&lt;=$W$2, "Timely", "Delayed")</f>
        <v>Timely</v>
      </c>
      <c r="U574" t="s">
        <v>2926</v>
      </c>
    </row>
    <row r="575" spans="1:21" x14ac:dyDescent="0.25">
      <c r="A575" s="4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 s="6">
        <v>6281.84</v>
      </c>
      <c r="K575" t="s">
        <v>44</v>
      </c>
      <c r="L575" t="s">
        <v>2941</v>
      </c>
      <c r="M575">
        <v>0</v>
      </c>
      <c r="N575" t="s">
        <v>624</v>
      </c>
      <c r="O575" t="s">
        <v>2101</v>
      </c>
      <c r="P575">
        <v>17.12</v>
      </c>
      <c r="Q575" s="1">
        <v>45046</v>
      </c>
      <c r="R575" s="1">
        <v>45052</v>
      </c>
      <c r="S575" s="14">
        <f>Sales[[#This Row],[DeliveryDate]]-Sales[[#This Row],[OrderDate]]</f>
        <v>6</v>
      </c>
      <c r="T575" s="14" t="str">
        <f>IF(Sales[[#This Row],[Delivery Days]]&lt;=$W$2, "Timely", "Delayed")</f>
        <v>Timely</v>
      </c>
      <c r="U575" t="s">
        <v>2922</v>
      </c>
    </row>
    <row r="576" spans="1:21" x14ac:dyDescent="0.25">
      <c r="A576" s="4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 s="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1">
        <v>45365</v>
      </c>
      <c r="R576" s="1">
        <v>45371</v>
      </c>
      <c r="S576" s="14">
        <f>Sales[[#This Row],[DeliveryDate]]-Sales[[#This Row],[OrderDate]]</f>
        <v>6</v>
      </c>
      <c r="T576" s="14" t="str">
        <f>IF(Sales[[#This Row],[Delivery Days]]&lt;=$W$2, "Timely", "Delayed")</f>
        <v>Timely</v>
      </c>
      <c r="U576" t="s">
        <v>2926</v>
      </c>
    </row>
    <row r="577" spans="1:21" x14ac:dyDescent="0.25">
      <c r="A577" s="4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 s="6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1">
        <v>45104</v>
      </c>
      <c r="R577" s="1">
        <v>45109</v>
      </c>
      <c r="S577" s="14">
        <f>Sales[[#This Row],[DeliveryDate]]-Sales[[#This Row],[OrderDate]]</f>
        <v>5</v>
      </c>
      <c r="T577" s="14" t="str">
        <f>IF(Sales[[#This Row],[Delivery Days]]&lt;=$W$2, "Timely", "Delayed")</f>
        <v>Timely</v>
      </c>
      <c r="U577" t="s">
        <v>2925</v>
      </c>
    </row>
    <row r="578" spans="1:21" x14ac:dyDescent="0.25">
      <c r="A578" s="4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 s="6">
        <v>180.12</v>
      </c>
      <c r="K578" t="s">
        <v>43</v>
      </c>
      <c r="L578" t="s">
        <v>2941</v>
      </c>
      <c r="M578">
        <v>0</v>
      </c>
      <c r="N578" t="s">
        <v>627</v>
      </c>
      <c r="O578" t="s">
        <v>2104</v>
      </c>
      <c r="P578">
        <v>22.33</v>
      </c>
      <c r="Q578" s="1">
        <v>45392</v>
      </c>
      <c r="R578" s="1">
        <v>45394</v>
      </c>
      <c r="S578" s="14">
        <f>Sales[[#This Row],[DeliveryDate]]-Sales[[#This Row],[OrderDate]]</f>
        <v>2</v>
      </c>
      <c r="T578" s="14" t="str">
        <f>IF(Sales[[#This Row],[Delivery Days]]&lt;=$W$2, "Timely", "Delayed")</f>
        <v>Timely</v>
      </c>
      <c r="U578" t="s">
        <v>2924</v>
      </c>
    </row>
    <row r="579" spans="1:21" x14ac:dyDescent="0.25">
      <c r="A579" s="4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 s="6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1">
        <v>45168</v>
      </c>
      <c r="R579" s="1">
        <v>45170</v>
      </c>
      <c r="S579" s="14">
        <f>Sales[[#This Row],[DeliveryDate]]-Sales[[#This Row],[OrderDate]]</f>
        <v>2</v>
      </c>
      <c r="T579" s="14" t="str">
        <f>IF(Sales[[#This Row],[Delivery Days]]&lt;=$W$2, "Timely", "Delayed")</f>
        <v>Timely</v>
      </c>
      <c r="U579" t="s">
        <v>2925</v>
      </c>
    </row>
    <row r="580" spans="1:21" x14ac:dyDescent="0.25">
      <c r="A580" s="4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 s="6">
        <v>419.09249999999997</v>
      </c>
      <c r="K580" t="s">
        <v>44</v>
      </c>
      <c r="L580" t="s">
        <v>2941</v>
      </c>
      <c r="M580">
        <v>0</v>
      </c>
      <c r="N580" t="s">
        <v>629</v>
      </c>
      <c r="O580" t="s">
        <v>2106</v>
      </c>
      <c r="P580">
        <v>27.68</v>
      </c>
      <c r="Q580" s="1">
        <v>45222</v>
      </c>
      <c r="R580" s="1">
        <v>45229</v>
      </c>
      <c r="S580" s="14">
        <f>Sales[[#This Row],[DeliveryDate]]-Sales[[#This Row],[OrderDate]]</f>
        <v>7</v>
      </c>
      <c r="T580" s="14" t="str">
        <f>IF(Sales[[#This Row],[Delivery Days]]&lt;=$W$2, "Timely", "Delayed")</f>
        <v>Delayed</v>
      </c>
      <c r="U580" t="s">
        <v>2926</v>
      </c>
    </row>
    <row r="581" spans="1:21" x14ac:dyDescent="0.25">
      <c r="A581" s="4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 s="6">
        <v>3396.33</v>
      </c>
      <c r="K581" t="s">
        <v>46</v>
      </c>
      <c r="L581" t="s">
        <v>2941</v>
      </c>
      <c r="M581">
        <v>0</v>
      </c>
      <c r="N581" t="s">
        <v>630</v>
      </c>
      <c r="O581" t="s">
        <v>2107</v>
      </c>
      <c r="P581">
        <v>42.04</v>
      </c>
      <c r="Q581" s="1">
        <v>45008</v>
      </c>
      <c r="R581" s="1">
        <v>45015</v>
      </c>
      <c r="S581" s="14">
        <f>Sales[[#This Row],[DeliveryDate]]-Sales[[#This Row],[OrderDate]]</f>
        <v>7</v>
      </c>
      <c r="T581" s="14" t="str">
        <f>IF(Sales[[#This Row],[Delivery Days]]&lt;=$W$2, "Timely", "Delayed")</f>
        <v>Delayed</v>
      </c>
      <c r="U581" t="s">
        <v>2924</v>
      </c>
    </row>
    <row r="582" spans="1:21" x14ac:dyDescent="0.25">
      <c r="A582" s="4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 s="6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1">
        <v>45556</v>
      </c>
      <c r="R582" s="1">
        <v>45565</v>
      </c>
      <c r="S582" s="14">
        <f>Sales[[#This Row],[DeliveryDate]]-Sales[[#This Row],[OrderDate]]</f>
        <v>9</v>
      </c>
      <c r="T582" s="14" t="str">
        <f>IF(Sales[[#This Row],[Delivery Days]]&lt;=$W$2, "Timely", "Delayed")</f>
        <v>Delayed</v>
      </c>
      <c r="U582" t="s">
        <v>2925</v>
      </c>
    </row>
    <row r="583" spans="1:21" x14ac:dyDescent="0.25">
      <c r="A583" s="4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 s="6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1">
        <v>45652</v>
      </c>
      <c r="R583" s="1">
        <v>45660</v>
      </c>
      <c r="S583" s="14">
        <f>Sales[[#This Row],[DeliveryDate]]-Sales[[#This Row],[OrderDate]]</f>
        <v>8</v>
      </c>
      <c r="T583" s="14" t="str">
        <f>IF(Sales[[#This Row],[Delivery Days]]&lt;=$W$2, "Timely", "Delayed")</f>
        <v>Delayed</v>
      </c>
      <c r="U583" t="s">
        <v>2926</v>
      </c>
    </row>
    <row r="584" spans="1:21" x14ac:dyDescent="0.25">
      <c r="A584" s="4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 s="6">
        <v>84.5</v>
      </c>
      <c r="K584" t="s">
        <v>47</v>
      </c>
      <c r="L584" t="s">
        <v>2941</v>
      </c>
      <c r="M584">
        <v>0</v>
      </c>
      <c r="N584" t="s">
        <v>633</v>
      </c>
      <c r="O584" t="s">
        <v>2110</v>
      </c>
      <c r="P584">
        <v>20.02</v>
      </c>
      <c r="Q584" s="1">
        <v>44983</v>
      </c>
      <c r="R584" s="1">
        <v>44988</v>
      </c>
      <c r="S584" s="14">
        <f>Sales[[#This Row],[DeliveryDate]]-Sales[[#This Row],[OrderDate]]</f>
        <v>5</v>
      </c>
      <c r="T584" s="14" t="str">
        <f>IF(Sales[[#This Row],[Delivery Days]]&lt;=$W$2, "Timely", "Delayed")</f>
        <v>Timely</v>
      </c>
      <c r="U584" t="s">
        <v>2922</v>
      </c>
    </row>
    <row r="585" spans="1:21" x14ac:dyDescent="0.25">
      <c r="A585" s="4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 s="6">
        <v>566.32000000000005</v>
      </c>
      <c r="K585" t="s">
        <v>43</v>
      </c>
      <c r="L585" t="s">
        <v>2941</v>
      </c>
      <c r="M585">
        <v>0</v>
      </c>
      <c r="N585" t="s">
        <v>634</v>
      </c>
      <c r="O585" t="s">
        <v>2111</v>
      </c>
      <c r="P585">
        <v>46.35</v>
      </c>
      <c r="Q585" s="1">
        <v>45636</v>
      </c>
      <c r="R585" s="1">
        <v>45640</v>
      </c>
      <c r="S585" s="14">
        <f>Sales[[#This Row],[DeliveryDate]]-Sales[[#This Row],[OrderDate]]</f>
        <v>4</v>
      </c>
      <c r="T585" s="14" t="str">
        <f>IF(Sales[[#This Row],[Delivery Days]]&lt;=$W$2, "Timely", "Delayed")</f>
        <v>Timely</v>
      </c>
      <c r="U585" t="s">
        <v>2924</v>
      </c>
    </row>
    <row r="586" spans="1:21" x14ac:dyDescent="0.25">
      <c r="A586" s="4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 s="6">
        <v>8945.9100000000017</v>
      </c>
      <c r="K586" t="s">
        <v>43</v>
      </c>
      <c r="L586" t="s">
        <v>2941</v>
      </c>
      <c r="M586">
        <v>1</v>
      </c>
      <c r="N586" t="s">
        <v>635</v>
      </c>
      <c r="O586" t="s">
        <v>2112</v>
      </c>
      <c r="P586">
        <v>46.59</v>
      </c>
      <c r="Q586" s="1">
        <v>45658</v>
      </c>
      <c r="R586" s="1">
        <v>45660</v>
      </c>
      <c r="S586" s="14">
        <f>Sales[[#This Row],[DeliveryDate]]-Sales[[#This Row],[OrderDate]]</f>
        <v>2</v>
      </c>
      <c r="T586" s="14" t="str">
        <f>IF(Sales[[#This Row],[Delivery Days]]&lt;=$W$2, "Timely", "Delayed")</f>
        <v>Timely</v>
      </c>
      <c r="U586" t="s">
        <v>2922</v>
      </c>
    </row>
    <row r="587" spans="1:21" x14ac:dyDescent="0.25">
      <c r="A587" s="4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 s="6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1">
        <v>45730</v>
      </c>
      <c r="R587" s="1">
        <v>45737</v>
      </c>
      <c r="S587" s="14">
        <f>Sales[[#This Row],[DeliveryDate]]-Sales[[#This Row],[OrderDate]]</f>
        <v>7</v>
      </c>
      <c r="T587" s="14" t="str">
        <f>IF(Sales[[#This Row],[Delivery Days]]&lt;=$W$2, "Timely", "Delayed")</f>
        <v>Delayed</v>
      </c>
      <c r="U587" t="s">
        <v>2922</v>
      </c>
    </row>
    <row r="588" spans="1:21" x14ac:dyDescent="0.25">
      <c r="A588" s="4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 s="6">
        <v>1984.1849999999999</v>
      </c>
      <c r="K588" t="s">
        <v>44</v>
      </c>
      <c r="L588" t="s">
        <v>2941</v>
      </c>
      <c r="M588">
        <v>0</v>
      </c>
      <c r="N588" t="s">
        <v>637</v>
      </c>
      <c r="O588" t="s">
        <v>2114</v>
      </c>
      <c r="P588">
        <v>23.84</v>
      </c>
      <c r="Q588" s="1">
        <v>45307</v>
      </c>
      <c r="R588" s="1">
        <v>45311</v>
      </c>
      <c r="S588" s="14">
        <f>Sales[[#This Row],[DeliveryDate]]-Sales[[#This Row],[OrderDate]]</f>
        <v>4</v>
      </c>
      <c r="T588" s="14" t="str">
        <f>IF(Sales[[#This Row],[Delivery Days]]&lt;=$W$2, "Timely", "Delayed")</f>
        <v>Timely</v>
      </c>
      <c r="U588" t="s">
        <v>2923</v>
      </c>
    </row>
    <row r="589" spans="1:21" x14ac:dyDescent="0.25">
      <c r="A589" s="4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 s="6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1">
        <v>45401</v>
      </c>
      <c r="R589" s="1">
        <v>45407</v>
      </c>
      <c r="S589" s="14">
        <f>Sales[[#This Row],[DeliveryDate]]-Sales[[#This Row],[OrderDate]]</f>
        <v>6</v>
      </c>
      <c r="T589" s="14" t="str">
        <f>IF(Sales[[#This Row],[Delivery Days]]&lt;=$W$2, "Timely", "Delayed")</f>
        <v>Timely</v>
      </c>
      <c r="U589" t="s">
        <v>2926</v>
      </c>
    </row>
    <row r="590" spans="1:21" x14ac:dyDescent="0.25">
      <c r="A590" s="4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 s="6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1">
        <v>45268</v>
      </c>
      <c r="R590" s="1">
        <v>45271</v>
      </c>
      <c r="S590" s="14">
        <f>Sales[[#This Row],[DeliveryDate]]-Sales[[#This Row],[OrderDate]]</f>
        <v>3</v>
      </c>
      <c r="T590" s="14" t="str">
        <f>IF(Sales[[#This Row],[Delivery Days]]&lt;=$W$2, "Timely", "Delayed")</f>
        <v>Timely</v>
      </c>
      <c r="U590" t="s">
        <v>2924</v>
      </c>
    </row>
    <row r="591" spans="1:21" x14ac:dyDescent="0.25">
      <c r="A591" s="4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 s="6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1">
        <v>45000</v>
      </c>
      <c r="R591" s="1">
        <v>45004</v>
      </c>
      <c r="S591" s="14">
        <f>Sales[[#This Row],[DeliveryDate]]-Sales[[#This Row],[OrderDate]]</f>
        <v>4</v>
      </c>
      <c r="T591" s="14" t="str">
        <f>IF(Sales[[#This Row],[Delivery Days]]&lt;=$W$2, "Timely", "Delayed")</f>
        <v>Timely</v>
      </c>
      <c r="U591" t="s">
        <v>2924</v>
      </c>
    </row>
    <row r="592" spans="1:21" x14ac:dyDescent="0.25">
      <c r="A592" s="4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 s="6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1">
        <v>45695</v>
      </c>
      <c r="R592" s="1">
        <v>45701</v>
      </c>
      <c r="S592" s="14">
        <f>Sales[[#This Row],[DeliveryDate]]-Sales[[#This Row],[OrderDate]]</f>
        <v>6</v>
      </c>
      <c r="T592" s="14" t="str">
        <f>IF(Sales[[#This Row],[Delivery Days]]&lt;=$W$2, "Timely", "Delayed")</f>
        <v>Timely</v>
      </c>
      <c r="U592" t="s">
        <v>2923</v>
      </c>
    </row>
    <row r="593" spans="1:21" x14ac:dyDescent="0.25">
      <c r="A593" s="4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 s="6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1">
        <v>45835</v>
      </c>
      <c r="R593" s="1">
        <v>45840</v>
      </c>
      <c r="S593" s="14">
        <f>Sales[[#This Row],[DeliveryDate]]-Sales[[#This Row],[OrderDate]]</f>
        <v>5</v>
      </c>
      <c r="T593" s="14" t="str">
        <f>IF(Sales[[#This Row],[Delivery Days]]&lt;=$W$2, "Timely", "Delayed")</f>
        <v>Timely</v>
      </c>
      <c r="U593" t="s">
        <v>2924</v>
      </c>
    </row>
    <row r="594" spans="1:21" x14ac:dyDescent="0.25">
      <c r="A594" s="4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 s="6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1">
        <v>45643</v>
      </c>
      <c r="R594" s="1">
        <v>45646</v>
      </c>
      <c r="S594" s="14">
        <f>Sales[[#This Row],[DeliveryDate]]-Sales[[#This Row],[OrderDate]]</f>
        <v>3</v>
      </c>
      <c r="T594" s="14" t="str">
        <f>IF(Sales[[#This Row],[Delivery Days]]&lt;=$W$2, "Timely", "Delayed")</f>
        <v>Timely</v>
      </c>
      <c r="U594" t="s">
        <v>2925</v>
      </c>
    </row>
    <row r="595" spans="1:21" x14ac:dyDescent="0.25">
      <c r="A595" s="4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 s="6">
        <v>1520.019</v>
      </c>
      <c r="K595" t="s">
        <v>46</v>
      </c>
      <c r="L595" t="s">
        <v>2941</v>
      </c>
      <c r="M595">
        <v>0</v>
      </c>
      <c r="N595" t="s">
        <v>644</v>
      </c>
      <c r="O595" t="s">
        <v>2121</v>
      </c>
      <c r="P595">
        <v>48.49</v>
      </c>
      <c r="Q595" s="1">
        <v>45415</v>
      </c>
      <c r="R595" s="1">
        <v>45423</v>
      </c>
      <c r="S595" s="14">
        <f>Sales[[#This Row],[DeliveryDate]]-Sales[[#This Row],[OrderDate]]</f>
        <v>8</v>
      </c>
      <c r="T595" s="14" t="str">
        <f>IF(Sales[[#This Row],[Delivery Days]]&lt;=$W$2, "Timely", "Delayed")</f>
        <v>Delayed</v>
      </c>
      <c r="U595" t="s">
        <v>2923</v>
      </c>
    </row>
    <row r="596" spans="1:21" x14ac:dyDescent="0.25">
      <c r="A596" s="4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 s="6">
        <v>812.16000000000008</v>
      </c>
      <c r="K596" t="s">
        <v>47</v>
      </c>
      <c r="L596" t="s">
        <v>2941</v>
      </c>
      <c r="M596">
        <v>1</v>
      </c>
      <c r="N596" t="s">
        <v>645</v>
      </c>
      <c r="O596" t="s">
        <v>2029</v>
      </c>
      <c r="P596">
        <v>15.98</v>
      </c>
      <c r="Q596" s="1">
        <v>45286</v>
      </c>
      <c r="R596" s="1">
        <v>45292</v>
      </c>
      <c r="S596" s="14">
        <f>Sales[[#This Row],[DeliveryDate]]-Sales[[#This Row],[OrderDate]]</f>
        <v>6</v>
      </c>
      <c r="T596" s="14" t="str">
        <f>IF(Sales[[#This Row],[Delivery Days]]&lt;=$W$2, "Timely", "Delayed")</f>
        <v>Timely</v>
      </c>
      <c r="U596" t="s">
        <v>2923</v>
      </c>
    </row>
    <row r="597" spans="1:21" x14ac:dyDescent="0.25">
      <c r="A597" s="4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 s="6">
        <v>832.13349999999991</v>
      </c>
      <c r="K597" t="s">
        <v>43</v>
      </c>
      <c r="L597" t="s">
        <v>2941</v>
      </c>
      <c r="M597">
        <v>0</v>
      </c>
      <c r="N597" t="s">
        <v>646</v>
      </c>
      <c r="O597" t="s">
        <v>2122</v>
      </c>
      <c r="P597">
        <v>43.84</v>
      </c>
      <c r="Q597" s="1">
        <v>45425</v>
      </c>
      <c r="R597" s="1">
        <v>45431</v>
      </c>
      <c r="S597" s="14">
        <f>Sales[[#This Row],[DeliveryDate]]-Sales[[#This Row],[OrderDate]]</f>
        <v>6</v>
      </c>
      <c r="T597" s="14" t="str">
        <f>IF(Sales[[#This Row],[Delivery Days]]&lt;=$W$2, "Timely", "Delayed")</f>
        <v>Timely</v>
      </c>
      <c r="U597" t="s">
        <v>2925</v>
      </c>
    </row>
    <row r="598" spans="1:21" x14ac:dyDescent="0.25">
      <c r="A598" s="4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 s="6">
        <v>3034.2</v>
      </c>
      <c r="K598" t="s">
        <v>47</v>
      </c>
      <c r="L598" t="s">
        <v>2941</v>
      </c>
      <c r="M598">
        <v>0</v>
      </c>
      <c r="N598" t="s">
        <v>647</v>
      </c>
      <c r="O598" t="s">
        <v>2123</v>
      </c>
      <c r="P598">
        <v>40.380000000000003</v>
      </c>
      <c r="Q598" s="1">
        <v>45206</v>
      </c>
      <c r="R598" s="1">
        <v>45215</v>
      </c>
      <c r="S598" s="14">
        <f>Sales[[#This Row],[DeliveryDate]]-Sales[[#This Row],[OrderDate]]</f>
        <v>9</v>
      </c>
      <c r="T598" s="14" t="str">
        <f>IF(Sales[[#This Row],[Delivery Days]]&lt;=$W$2, "Timely", "Delayed")</f>
        <v>Delayed</v>
      </c>
      <c r="U598" t="s">
        <v>2923</v>
      </c>
    </row>
    <row r="599" spans="1:21" x14ac:dyDescent="0.25">
      <c r="A599" s="4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 s="6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1">
        <v>45118</v>
      </c>
      <c r="R599" s="1">
        <v>45120</v>
      </c>
      <c r="S599" s="14">
        <f>Sales[[#This Row],[DeliveryDate]]-Sales[[#This Row],[OrderDate]]</f>
        <v>2</v>
      </c>
      <c r="T599" s="14" t="str">
        <f>IF(Sales[[#This Row],[Delivery Days]]&lt;=$W$2, "Timely", "Delayed")</f>
        <v>Timely</v>
      </c>
      <c r="U599" t="s">
        <v>2926</v>
      </c>
    </row>
    <row r="600" spans="1:21" x14ac:dyDescent="0.25">
      <c r="A600" s="4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 s="6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1">
        <v>45688</v>
      </c>
      <c r="R600" s="1">
        <v>45694</v>
      </c>
      <c r="S600" s="14">
        <f>Sales[[#This Row],[DeliveryDate]]-Sales[[#This Row],[OrderDate]]</f>
        <v>6</v>
      </c>
      <c r="T600" s="14" t="str">
        <f>IF(Sales[[#This Row],[Delivery Days]]&lt;=$W$2, "Timely", "Delayed")</f>
        <v>Timely</v>
      </c>
      <c r="U600" t="s">
        <v>2923</v>
      </c>
    </row>
    <row r="601" spans="1:21" x14ac:dyDescent="0.25">
      <c r="A601" s="4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 s="6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1">
        <v>44961</v>
      </c>
      <c r="R601" s="1">
        <v>44964</v>
      </c>
      <c r="S601" s="14">
        <f>Sales[[#This Row],[DeliveryDate]]-Sales[[#This Row],[OrderDate]]</f>
        <v>3</v>
      </c>
      <c r="T601" s="14" t="str">
        <f>IF(Sales[[#This Row],[Delivery Days]]&lt;=$W$2, "Timely", "Delayed")</f>
        <v>Timely</v>
      </c>
      <c r="U601" t="s">
        <v>2923</v>
      </c>
    </row>
    <row r="602" spans="1:21" x14ac:dyDescent="0.25">
      <c r="A602" s="4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 s="6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1">
        <v>45171</v>
      </c>
      <c r="R602" s="1">
        <v>45181</v>
      </c>
      <c r="S602" s="14">
        <f>Sales[[#This Row],[DeliveryDate]]-Sales[[#This Row],[OrderDate]]</f>
        <v>10</v>
      </c>
      <c r="T602" s="14" t="str">
        <f>IF(Sales[[#This Row],[Delivery Days]]&lt;=$W$2, "Timely", "Delayed")</f>
        <v>Delayed</v>
      </c>
      <c r="U602" t="s">
        <v>2923</v>
      </c>
    </row>
    <row r="603" spans="1:21" x14ac:dyDescent="0.25">
      <c r="A603" s="4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 s="6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1">
        <v>45639</v>
      </c>
      <c r="R603" s="1">
        <v>45641</v>
      </c>
      <c r="S603" s="14">
        <f>Sales[[#This Row],[DeliveryDate]]-Sales[[#This Row],[OrderDate]]</f>
        <v>2</v>
      </c>
      <c r="T603" s="14" t="str">
        <f>IF(Sales[[#This Row],[Delivery Days]]&lt;=$W$2, "Timely", "Delayed")</f>
        <v>Timely</v>
      </c>
      <c r="U603" t="s">
        <v>2925</v>
      </c>
    </row>
    <row r="604" spans="1:21" x14ac:dyDescent="0.25">
      <c r="A604" s="4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 s="6">
        <v>376.35</v>
      </c>
      <c r="K604" t="s">
        <v>47</v>
      </c>
      <c r="L604" t="s">
        <v>2941</v>
      </c>
      <c r="M604">
        <v>0</v>
      </c>
      <c r="N604" t="s">
        <v>653</v>
      </c>
      <c r="O604" t="s">
        <v>2129</v>
      </c>
      <c r="P604">
        <v>31.61</v>
      </c>
      <c r="Q604" s="1">
        <v>45212</v>
      </c>
      <c r="R604" s="1">
        <v>45221</v>
      </c>
      <c r="S604" s="14">
        <f>Sales[[#This Row],[DeliveryDate]]-Sales[[#This Row],[OrderDate]]</f>
        <v>9</v>
      </c>
      <c r="T604" s="14" t="str">
        <f>IF(Sales[[#This Row],[Delivery Days]]&lt;=$W$2, "Timely", "Delayed")</f>
        <v>Delayed</v>
      </c>
      <c r="U604" t="s">
        <v>2925</v>
      </c>
    </row>
    <row r="605" spans="1:21" x14ac:dyDescent="0.25">
      <c r="A605" s="4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 s="6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1">
        <v>45568</v>
      </c>
      <c r="R605" s="1">
        <v>45572</v>
      </c>
      <c r="S605" s="14">
        <f>Sales[[#This Row],[DeliveryDate]]-Sales[[#This Row],[OrderDate]]</f>
        <v>4</v>
      </c>
      <c r="T605" s="14" t="str">
        <f>IF(Sales[[#This Row],[Delivery Days]]&lt;=$W$2, "Timely", "Delayed")</f>
        <v>Timely</v>
      </c>
      <c r="U605" t="s">
        <v>2923</v>
      </c>
    </row>
    <row r="606" spans="1:21" x14ac:dyDescent="0.25">
      <c r="A606" s="4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 s="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1">
        <v>45410</v>
      </c>
      <c r="R606" s="1">
        <v>45416</v>
      </c>
      <c r="S606" s="14">
        <f>Sales[[#This Row],[DeliveryDate]]-Sales[[#This Row],[OrderDate]]</f>
        <v>6</v>
      </c>
      <c r="T606" s="14" t="str">
        <f>IF(Sales[[#This Row],[Delivery Days]]&lt;=$W$2, "Timely", "Delayed")</f>
        <v>Timely</v>
      </c>
      <c r="U606" t="s">
        <v>2925</v>
      </c>
    </row>
    <row r="607" spans="1:21" x14ac:dyDescent="0.25">
      <c r="A607" s="4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 s="6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1">
        <v>45329</v>
      </c>
      <c r="R607" s="1">
        <v>45336</v>
      </c>
      <c r="S607" s="14">
        <f>Sales[[#This Row],[DeliveryDate]]-Sales[[#This Row],[OrderDate]]</f>
        <v>7</v>
      </c>
      <c r="T607" s="14" t="str">
        <f>IF(Sales[[#This Row],[Delivery Days]]&lt;=$W$2, "Timely", "Delayed")</f>
        <v>Delayed</v>
      </c>
      <c r="U607" t="s">
        <v>2925</v>
      </c>
    </row>
    <row r="608" spans="1:21" x14ac:dyDescent="0.25">
      <c r="A608" s="4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 s="6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1">
        <v>44965</v>
      </c>
      <c r="R608" s="1">
        <v>44968</v>
      </c>
      <c r="S608" s="14">
        <f>Sales[[#This Row],[DeliveryDate]]-Sales[[#This Row],[OrderDate]]</f>
        <v>3</v>
      </c>
      <c r="T608" s="14" t="str">
        <f>IF(Sales[[#This Row],[Delivery Days]]&lt;=$W$2, "Timely", "Delayed")</f>
        <v>Timely</v>
      </c>
      <c r="U608" t="s">
        <v>2923</v>
      </c>
    </row>
    <row r="609" spans="1:21" x14ac:dyDescent="0.25">
      <c r="A609" s="4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 s="6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1">
        <v>45094</v>
      </c>
      <c r="R609" s="1">
        <v>45096</v>
      </c>
      <c r="S609" s="14">
        <f>Sales[[#This Row],[DeliveryDate]]-Sales[[#This Row],[OrderDate]]</f>
        <v>2</v>
      </c>
      <c r="T609" s="14" t="str">
        <f>IF(Sales[[#This Row],[Delivery Days]]&lt;=$W$2, "Timely", "Delayed")</f>
        <v>Timely</v>
      </c>
      <c r="U609" t="s">
        <v>2923</v>
      </c>
    </row>
    <row r="610" spans="1:21" x14ac:dyDescent="0.25">
      <c r="A610" s="4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 s="6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1">
        <v>45502</v>
      </c>
      <c r="R610" s="1">
        <v>45505</v>
      </c>
      <c r="S610" s="14">
        <f>Sales[[#This Row],[DeliveryDate]]-Sales[[#This Row],[OrderDate]]</f>
        <v>3</v>
      </c>
      <c r="T610" s="14" t="str">
        <f>IF(Sales[[#This Row],[Delivery Days]]&lt;=$W$2, "Timely", "Delayed")</f>
        <v>Timely</v>
      </c>
      <c r="U610" t="s">
        <v>2926</v>
      </c>
    </row>
    <row r="611" spans="1:21" x14ac:dyDescent="0.25">
      <c r="A611" s="4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 s="6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1">
        <v>45320</v>
      </c>
      <c r="R611" s="1">
        <v>45323</v>
      </c>
      <c r="S611" s="14">
        <f>Sales[[#This Row],[DeliveryDate]]-Sales[[#This Row],[OrderDate]]</f>
        <v>3</v>
      </c>
      <c r="T611" s="14" t="str">
        <f>IF(Sales[[#This Row],[Delivery Days]]&lt;=$W$2, "Timely", "Delayed")</f>
        <v>Timely</v>
      </c>
      <c r="U611" t="s">
        <v>2926</v>
      </c>
    </row>
    <row r="612" spans="1:21" x14ac:dyDescent="0.25">
      <c r="A612" s="4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 s="6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1">
        <v>45309</v>
      </c>
      <c r="R612" s="1">
        <v>45314</v>
      </c>
      <c r="S612" s="14">
        <f>Sales[[#This Row],[DeliveryDate]]-Sales[[#This Row],[OrderDate]]</f>
        <v>5</v>
      </c>
      <c r="T612" s="14" t="str">
        <f>IF(Sales[[#This Row],[Delivery Days]]&lt;=$W$2, "Timely", "Delayed")</f>
        <v>Timely</v>
      </c>
      <c r="U612" t="s">
        <v>2922</v>
      </c>
    </row>
    <row r="613" spans="1:21" x14ac:dyDescent="0.25">
      <c r="A613" s="4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 s="6">
        <v>2780</v>
      </c>
      <c r="K613" t="s">
        <v>45</v>
      </c>
      <c r="L613" t="s">
        <v>2941</v>
      </c>
      <c r="M613">
        <v>0</v>
      </c>
      <c r="N613" t="s">
        <v>662</v>
      </c>
      <c r="O613" t="s">
        <v>2138</v>
      </c>
      <c r="P613">
        <v>24.25</v>
      </c>
      <c r="Q613" s="1">
        <v>45516</v>
      </c>
      <c r="R613" s="1">
        <v>45526</v>
      </c>
      <c r="S613" s="14">
        <f>Sales[[#This Row],[DeliveryDate]]-Sales[[#This Row],[OrderDate]]</f>
        <v>10</v>
      </c>
      <c r="T613" s="14" t="str">
        <f>IF(Sales[[#This Row],[Delivery Days]]&lt;=$W$2, "Timely", "Delayed")</f>
        <v>Delayed</v>
      </c>
      <c r="U613" t="s">
        <v>2924</v>
      </c>
    </row>
    <row r="614" spans="1:21" x14ac:dyDescent="0.25">
      <c r="A614" s="4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 s="6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1">
        <v>45763</v>
      </c>
      <c r="R614" s="1">
        <v>45767</v>
      </c>
      <c r="S614" s="14">
        <f>Sales[[#This Row],[DeliveryDate]]-Sales[[#This Row],[OrderDate]]</f>
        <v>4</v>
      </c>
      <c r="T614" s="14" t="str">
        <f>IF(Sales[[#This Row],[Delivery Days]]&lt;=$W$2, "Timely", "Delayed")</f>
        <v>Timely</v>
      </c>
      <c r="U614" t="s">
        <v>2926</v>
      </c>
    </row>
    <row r="615" spans="1:21" x14ac:dyDescent="0.25">
      <c r="A615" s="4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 s="6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1">
        <v>44983</v>
      </c>
      <c r="R615" s="1">
        <v>44987</v>
      </c>
      <c r="S615" s="14">
        <f>Sales[[#This Row],[DeliveryDate]]-Sales[[#This Row],[OrderDate]]</f>
        <v>4</v>
      </c>
      <c r="T615" s="14" t="str">
        <f>IF(Sales[[#This Row],[Delivery Days]]&lt;=$W$2, "Timely", "Delayed")</f>
        <v>Timely</v>
      </c>
      <c r="U615" t="s">
        <v>2925</v>
      </c>
    </row>
    <row r="616" spans="1:21" x14ac:dyDescent="0.25">
      <c r="A616" s="4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 s="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1">
        <v>44933</v>
      </c>
      <c r="R616" s="1">
        <v>44937</v>
      </c>
      <c r="S616" s="14">
        <f>Sales[[#This Row],[DeliveryDate]]-Sales[[#This Row],[OrderDate]]</f>
        <v>4</v>
      </c>
      <c r="T616" s="14" t="str">
        <f>IF(Sales[[#This Row],[Delivery Days]]&lt;=$W$2, "Timely", "Delayed")</f>
        <v>Timely</v>
      </c>
      <c r="U616" t="s">
        <v>2922</v>
      </c>
    </row>
    <row r="617" spans="1:21" x14ac:dyDescent="0.25">
      <c r="A617" s="4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 s="6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1">
        <v>45223</v>
      </c>
      <c r="R617" s="1">
        <v>45233</v>
      </c>
      <c r="S617" s="14">
        <f>Sales[[#This Row],[DeliveryDate]]-Sales[[#This Row],[OrderDate]]</f>
        <v>10</v>
      </c>
      <c r="T617" s="14" t="str">
        <f>IF(Sales[[#This Row],[Delivery Days]]&lt;=$W$2, "Timely", "Delayed")</f>
        <v>Delayed</v>
      </c>
      <c r="U617" t="s">
        <v>2923</v>
      </c>
    </row>
    <row r="618" spans="1:21" x14ac:dyDescent="0.25">
      <c r="A618" s="4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 s="6">
        <v>1472.37</v>
      </c>
      <c r="K618" t="s">
        <v>45</v>
      </c>
      <c r="L618" t="s">
        <v>2941</v>
      </c>
      <c r="M618">
        <v>0</v>
      </c>
      <c r="N618" t="s">
        <v>667</v>
      </c>
      <c r="O618" t="s">
        <v>2143</v>
      </c>
      <c r="P618">
        <v>6.04</v>
      </c>
      <c r="Q618" s="1">
        <v>45293</v>
      </c>
      <c r="R618" s="1">
        <v>45303</v>
      </c>
      <c r="S618" s="14">
        <f>Sales[[#This Row],[DeliveryDate]]-Sales[[#This Row],[OrderDate]]</f>
        <v>10</v>
      </c>
      <c r="T618" s="14" t="str">
        <f>IF(Sales[[#This Row],[Delivery Days]]&lt;=$W$2, "Timely", "Delayed")</f>
        <v>Delayed</v>
      </c>
      <c r="U618" t="s">
        <v>2924</v>
      </c>
    </row>
    <row r="619" spans="1:21" x14ac:dyDescent="0.25">
      <c r="A619" s="4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 s="6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1">
        <v>45552</v>
      </c>
      <c r="R619" s="1">
        <v>45560</v>
      </c>
      <c r="S619" s="14">
        <f>Sales[[#This Row],[DeliveryDate]]-Sales[[#This Row],[OrderDate]]</f>
        <v>8</v>
      </c>
      <c r="T619" s="14" t="str">
        <f>IF(Sales[[#This Row],[Delivery Days]]&lt;=$W$2, "Timely", "Delayed")</f>
        <v>Delayed</v>
      </c>
      <c r="U619" t="s">
        <v>2923</v>
      </c>
    </row>
    <row r="620" spans="1:21" x14ac:dyDescent="0.25">
      <c r="A620" s="4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 s="6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1">
        <v>45417</v>
      </c>
      <c r="R620" s="1">
        <v>45423</v>
      </c>
      <c r="S620" s="14">
        <f>Sales[[#This Row],[DeliveryDate]]-Sales[[#This Row],[OrderDate]]</f>
        <v>6</v>
      </c>
      <c r="T620" s="14" t="str">
        <f>IF(Sales[[#This Row],[Delivery Days]]&lt;=$W$2, "Timely", "Delayed")</f>
        <v>Timely</v>
      </c>
      <c r="U620" t="s">
        <v>2925</v>
      </c>
    </row>
    <row r="621" spans="1:21" x14ac:dyDescent="0.25">
      <c r="A621" s="4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 s="6">
        <v>1467.44</v>
      </c>
      <c r="K621" t="s">
        <v>46</v>
      </c>
      <c r="L621" t="s">
        <v>2941</v>
      </c>
      <c r="M621">
        <v>0</v>
      </c>
      <c r="N621" t="s">
        <v>670</v>
      </c>
      <c r="O621" t="s">
        <v>2146</v>
      </c>
      <c r="P621">
        <v>12.39</v>
      </c>
      <c r="Q621" s="1">
        <v>45835</v>
      </c>
      <c r="R621" s="1">
        <v>45837</v>
      </c>
      <c r="S621" s="14">
        <f>Sales[[#This Row],[DeliveryDate]]-Sales[[#This Row],[OrderDate]]</f>
        <v>2</v>
      </c>
      <c r="T621" s="14" t="str">
        <f>IF(Sales[[#This Row],[Delivery Days]]&lt;=$W$2, "Timely", "Delayed")</f>
        <v>Timely</v>
      </c>
      <c r="U621" t="s">
        <v>2926</v>
      </c>
    </row>
    <row r="622" spans="1:21" x14ac:dyDescent="0.25">
      <c r="A622" s="4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 s="6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1">
        <v>45426</v>
      </c>
      <c r="R622" s="1">
        <v>45434</v>
      </c>
      <c r="S622" s="14">
        <f>Sales[[#This Row],[DeliveryDate]]-Sales[[#This Row],[OrderDate]]</f>
        <v>8</v>
      </c>
      <c r="T622" s="14" t="str">
        <f>IF(Sales[[#This Row],[Delivery Days]]&lt;=$W$2, "Timely", "Delayed")</f>
        <v>Delayed</v>
      </c>
      <c r="U622" t="s">
        <v>2926</v>
      </c>
    </row>
    <row r="623" spans="1:21" x14ac:dyDescent="0.25">
      <c r="A623" s="4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 s="6">
        <v>1528.2149999999999</v>
      </c>
      <c r="K623" t="s">
        <v>46</v>
      </c>
      <c r="L623" t="s">
        <v>2941</v>
      </c>
      <c r="M623">
        <v>1</v>
      </c>
      <c r="N623" t="s">
        <v>672</v>
      </c>
      <c r="O623" t="s">
        <v>2148</v>
      </c>
      <c r="P623">
        <v>30.78</v>
      </c>
      <c r="Q623" s="1">
        <v>45351</v>
      </c>
      <c r="R623" s="1">
        <v>45356</v>
      </c>
      <c r="S623" s="14">
        <f>Sales[[#This Row],[DeliveryDate]]-Sales[[#This Row],[OrderDate]]</f>
        <v>5</v>
      </c>
      <c r="T623" s="14" t="str">
        <f>IF(Sales[[#This Row],[Delivery Days]]&lt;=$W$2, "Timely", "Delayed")</f>
        <v>Timely</v>
      </c>
      <c r="U623" t="s">
        <v>2924</v>
      </c>
    </row>
    <row r="624" spans="1:21" x14ac:dyDescent="0.25">
      <c r="A624" s="4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 s="6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1">
        <v>45796</v>
      </c>
      <c r="R624" s="1">
        <v>45804</v>
      </c>
      <c r="S624" s="14">
        <f>Sales[[#This Row],[DeliveryDate]]-Sales[[#This Row],[OrderDate]]</f>
        <v>8</v>
      </c>
      <c r="T624" s="14" t="str">
        <f>IF(Sales[[#This Row],[Delivery Days]]&lt;=$W$2, "Timely", "Delayed")</f>
        <v>Delayed</v>
      </c>
      <c r="U624" t="s">
        <v>2922</v>
      </c>
    </row>
    <row r="625" spans="1:21" x14ac:dyDescent="0.25">
      <c r="A625" s="4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 s="6">
        <v>3106.9845</v>
      </c>
      <c r="K625" t="s">
        <v>44</v>
      </c>
      <c r="L625" t="s">
        <v>2941</v>
      </c>
      <c r="M625">
        <v>0</v>
      </c>
      <c r="N625" t="s">
        <v>674</v>
      </c>
      <c r="O625" t="s">
        <v>1652</v>
      </c>
      <c r="P625">
        <v>41.64</v>
      </c>
      <c r="Q625" s="1">
        <v>45628</v>
      </c>
      <c r="R625" s="1">
        <v>45630</v>
      </c>
      <c r="S625" s="14">
        <f>Sales[[#This Row],[DeliveryDate]]-Sales[[#This Row],[OrderDate]]</f>
        <v>2</v>
      </c>
      <c r="T625" s="14" t="str">
        <f>IF(Sales[[#This Row],[Delivery Days]]&lt;=$W$2, "Timely", "Delayed")</f>
        <v>Timely</v>
      </c>
      <c r="U625" t="s">
        <v>2922</v>
      </c>
    </row>
    <row r="626" spans="1:21" x14ac:dyDescent="0.25">
      <c r="A626" s="4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 s="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1">
        <v>45503</v>
      </c>
      <c r="R626" s="1">
        <v>45508</v>
      </c>
      <c r="S626" s="14">
        <f>Sales[[#This Row],[DeliveryDate]]-Sales[[#This Row],[OrderDate]]</f>
        <v>5</v>
      </c>
      <c r="T626" s="14" t="str">
        <f>IF(Sales[[#This Row],[Delivery Days]]&lt;=$W$2, "Timely", "Delayed")</f>
        <v>Timely</v>
      </c>
      <c r="U626" t="s">
        <v>2926</v>
      </c>
    </row>
    <row r="627" spans="1:21" x14ac:dyDescent="0.25">
      <c r="A627" s="4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 s="6">
        <v>2073.924</v>
      </c>
      <c r="K627" t="s">
        <v>45</v>
      </c>
      <c r="L627" t="s">
        <v>2941</v>
      </c>
      <c r="M627">
        <v>0</v>
      </c>
      <c r="N627" t="s">
        <v>676</v>
      </c>
      <c r="O627" t="s">
        <v>2151</v>
      </c>
      <c r="P627">
        <v>41.08</v>
      </c>
      <c r="Q627" s="1">
        <v>45102</v>
      </c>
      <c r="R627" s="1">
        <v>45110</v>
      </c>
      <c r="S627" s="14">
        <f>Sales[[#This Row],[DeliveryDate]]-Sales[[#This Row],[OrderDate]]</f>
        <v>8</v>
      </c>
      <c r="T627" s="14" t="str">
        <f>IF(Sales[[#This Row],[Delivery Days]]&lt;=$W$2, "Timely", "Delayed")</f>
        <v>Delayed</v>
      </c>
      <c r="U627" t="s">
        <v>2923</v>
      </c>
    </row>
    <row r="628" spans="1:21" x14ac:dyDescent="0.25">
      <c r="A628" s="4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 s="6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1">
        <v>45483</v>
      </c>
      <c r="R628" s="1">
        <v>45492</v>
      </c>
      <c r="S628" s="14">
        <f>Sales[[#This Row],[DeliveryDate]]-Sales[[#This Row],[OrderDate]]</f>
        <v>9</v>
      </c>
      <c r="T628" s="14" t="str">
        <f>IF(Sales[[#This Row],[Delivery Days]]&lt;=$W$2, "Timely", "Delayed")</f>
        <v>Delayed</v>
      </c>
      <c r="U628" t="s">
        <v>2923</v>
      </c>
    </row>
    <row r="629" spans="1:21" x14ac:dyDescent="0.25">
      <c r="A629" s="4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 s="6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1">
        <v>44932</v>
      </c>
      <c r="R629" s="1">
        <v>44941</v>
      </c>
      <c r="S629" s="14">
        <f>Sales[[#This Row],[DeliveryDate]]-Sales[[#This Row],[OrderDate]]</f>
        <v>9</v>
      </c>
      <c r="T629" s="14" t="str">
        <f>IF(Sales[[#This Row],[Delivery Days]]&lt;=$W$2, "Timely", "Delayed")</f>
        <v>Delayed</v>
      </c>
      <c r="U629" t="s">
        <v>2922</v>
      </c>
    </row>
    <row r="630" spans="1:21" x14ac:dyDescent="0.25">
      <c r="A630" s="4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 s="6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1">
        <v>45346</v>
      </c>
      <c r="R630" s="1">
        <v>45351</v>
      </c>
      <c r="S630" s="14">
        <f>Sales[[#This Row],[DeliveryDate]]-Sales[[#This Row],[OrderDate]]</f>
        <v>5</v>
      </c>
      <c r="T630" s="14" t="str">
        <f>IF(Sales[[#This Row],[Delivery Days]]&lt;=$W$2, "Timely", "Delayed")</f>
        <v>Timely</v>
      </c>
      <c r="U630" t="s">
        <v>2923</v>
      </c>
    </row>
    <row r="631" spans="1:21" x14ac:dyDescent="0.25">
      <c r="A631" s="4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 s="6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1">
        <v>45271</v>
      </c>
      <c r="R631" s="1">
        <v>45280</v>
      </c>
      <c r="S631" s="14">
        <f>Sales[[#This Row],[DeliveryDate]]-Sales[[#This Row],[OrderDate]]</f>
        <v>9</v>
      </c>
      <c r="T631" s="14" t="str">
        <f>IF(Sales[[#This Row],[Delivery Days]]&lt;=$W$2, "Timely", "Delayed")</f>
        <v>Delayed</v>
      </c>
      <c r="U631" t="s">
        <v>2925</v>
      </c>
    </row>
    <row r="632" spans="1:21" x14ac:dyDescent="0.25">
      <c r="A632" s="4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 s="6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1">
        <v>45707</v>
      </c>
      <c r="R632" s="1">
        <v>45711</v>
      </c>
      <c r="S632" s="14">
        <f>Sales[[#This Row],[DeliveryDate]]-Sales[[#This Row],[OrderDate]]</f>
        <v>4</v>
      </c>
      <c r="T632" s="14" t="str">
        <f>IF(Sales[[#This Row],[Delivery Days]]&lt;=$W$2, "Timely", "Delayed")</f>
        <v>Timely</v>
      </c>
      <c r="U632" t="s">
        <v>2923</v>
      </c>
    </row>
    <row r="633" spans="1:21" x14ac:dyDescent="0.25">
      <c r="A633" s="4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 s="6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1">
        <v>45734</v>
      </c>
      <c r="R633" s="1">
        <v>45742</v>
      </c>
      <c r="S633" s="14">
        <f>Sales[[#This Row],[DeliveryDate]]-Sales[[#This Row],[OrderDate]]</f>
        <v>8</v>
      </c>
      <c r="T633" s="14" t="str">
        <f>IF(Sales[[#This Row],[Delivery Days]]&lt;=$W$2, "Timely", "Delayed")</f>
        <v>Delayed</v>
      </c>
      <c r="U633" t="s">
        <v>2926</v>
      </c>
    </row>
    <row r="634" spans="1:21" x14ac:dyDescent="0.25">
      <c r="A634" s="4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 s="6">
        <v>3024.5039999999999</v>
      </c>
      <c r="K634" t="s">
        <v>43</v>
      </c>
      <c r="L634" t="s">
        <v>2941</v>
      </c>
      <c r="M634">
        <v>1</v>
      </c>
      <c r="N634" t="s">
        <v>683</v>
      </c>
      <c r="O634" t="s">
        <v>2158</v>
      </c>
      <c r="P634">
        <v>44.37</v>
      </c>
      <c r="Q634" s="1">
        <v>45191</v>
      </c>
      <c r="R634" s="1">
        <v>45196</v>
      </c>
      <c r="S634" s="14">
        <f>Sales[[#This Row],[DeliveryDate]]-Sales[[#This Row],[OrderDate]]</f>
        <v>5</v>
      </c>
      <c r="T634" s="14" t="str">
        <f>IF(Sales[[#This Row],[Delivery Days]]&lt;=$W$2, "Timely", "Delayed")</f>
        <v>Timely</v>
      </c>
      <c r="U634" t="s">
        <v>2923</v>
      </c>
    </row>
    <row r="635" spans="1:21" x14ac:dyDescent="0.25">
      <c r="A635" s="4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 s="6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1">
        <v>45283</v>
      </c>
      <c r="R635" s="1">
        <v>45288</v>
      </c>
      <c r="S635" s="14">
        <f>Sales[[#This Row],[DeliveryDate]]-Sales[[#This Row],[OrderDate]]</f>
        <v>5</v>
      </c>
      <c r="T635" s="14" t="str">
        <f>IF(Sales[[#This Row],[Delivery Days]]&lt;=$W$2, "Timely", "Delayed")</f>
        <v>Timely</v>
      </c>
      <c r="U635" t="s">
        <v>2926</v>
      </c>
    </row>
    <row r="636" spans="1:21" x14ac:dyDescent="0.25">
      <c r="A636" s="4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 s="6">
        <v>1419.8130000000001</v>
      </c>
      <c r="K636" t="s">
        <v>47</v>
      </c>
      <c r="L636" t="s">
        <v>2941</v>
      </c>
      <c r="M636">
        <v>0</v>
      </c>
      <c r="N636" t="s">
        <v>685</v>
      </c>
      <c r="O636" t="s">
        <v>2160</v>
      </c>
      <c r="P636">
        <v>20.38</v>
      </c>
      <c r="Q636" s="1">
        <v>45781</v>
      </c>
      <c r="R636" s="1">
        <v>45787</v>
      </c>
      <c r="S636" s="14">
        <f>Sales[[#This Row],[DeliveryDate]]-Sales[[#This Row],[OrderDate]]</f>
        <v>6</v>
      </c>
      <c r="T636" s="14" t="str">
        <f>IF(Sales[[#This Row],[Delivery Days]]&lt;=$W$2, "Timely", "Delayed")</f>
        <v>Timely</v>
      </c>
      <c r="U636" t="s">
        <v>2924</v>
      </c>
    </row>
    <row r="637" spans="1:21" x14ac:dyDescent="0.25">
      <c r="A637" s="4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 s="6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1">
        <v>45668</v>
      </c>
      <c r="R637" s="1">
        <v>45670</v>
      </c>
      <c r="S637" s="14">
        <f>Sales[[#This Row],[DeliveryDate]]-Sales[[#This Row],[OrderDate]]</f>
        <v>2</v>
      </c>
      <c r="T637" s="14" t="str">
        <f>IF(Sales[[#This Row],[Delivery Days]]&lt;=$W$2, "Timely", "Delayed")</f>
        <v>Timely</v>
      </c>
      <c r="U637" t="s">
        <v>2922</v>
      </c>
    </row>
    <row r="638" spans="1:21" x14ac:dyDescent="0.25">
      <c r="A638" s="4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 s="6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1">
        <v>45768</v>
      </c>
      <c r="R638" s="1">
        <v>45771</v>
      </c>
      <c r="S638" s="14">
        <f>Sales[[#This Row],[DeliveryDate]]-Sales[[#This Row],[OrderDate]]</f>
        <v>3</v>
      </c>
      <c r="T638" s="14" t="str">
        <f>IF(Sales[[#This Row],[Delivery Days]]&lt;=$W$2, "Timely", "Delayed")</f>
        <v>Timely</v>
      </c>
      <c r="U638" t="s">
        <v>2923</v>
      </c>
    </row>
    <row r="639" spans="1:21" x14ac:dyDescent="0.25">
      <c r="A639" s="4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 s="6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1">
        <v>45273</v>
      </c>
      <c r="R639" s="1">
        <v>45282</v>
      </c>
      <c r="S639" s="14">
        <f>Sales[[#This Row],[DeliveryDate]]-Sales[[#This Row],[OrderDate]]</f>
        <v>9</v>
      </c>
      <c r="T639" s="14" t="str">
        <f>IF(Sales[[#This Row],[Delivery Days]]&lt;=$W$2, "Timely", "Delayed")</f>
        <v>Delayed</v>
      </c>
      <c r="U639" t="s">
        <v>2925</v>
      </c>
    </row>
    <row r="640" spans="1:21" x14ac:dyDescent="0.25">
      <c r="A640" s="4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 s="6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1">
        <v>45329</v>
      </c>
      <c r="R640" s="1">
        <v>45333</v>
      </c>
      <c r="S640" s="14">
        <f>Sales[[#This Row],[DeliveryDate]]-Sales[[#This Row],[OrderDate]]</f>
        <v>4</v>
      </c>
      <c r="T640" s="14" t="str">
        <f>IF(Sales[[#This Row],[Delivery Days]]&lt;=$W$2, "Timely", "Delayed")</f>
        <v>Timely</v>
      </c>
      <c r="U640" t="s">
        <v>2922</v>
      </c>
    </row>
    <row r="641" spans="1:21" x14ac:dyDescent="0.25">
      <c r="A641" s="4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 s="6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1">
        <v>45406</v>
      </c>
      <c r="R641" s="1">
        <v>45409</v>
      </c>
      <c r="S641" s="14">
        <f>Sales[[#This Row],[DeliveryDate]]-Sales[[#This Row],[OrderDate]]</f>
        <v>3</v>
      </c>
      <c r="T641" s="14" t="str">
        <f>IF(Sales[[#This Row],[Delivery Days]]&lt;=$W$2, "Timely", "Delayed")</f>
        <v>Timely</v>
      </c>
      <c r="U641" t="s">
        <v>2924</v>
      </c>
    </row>
    <row r="642" spans="1:21" x14ac:dyDescent="0.25">
      <c r="A642" s="4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 s="6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1">
        <v>45180</v>
      </c>
      <c r="R642" s="1">
        <v>45185</v>
      </c>
      <c r="S642" s="14">
        <f>Sales[[#This Row],[DeliveryDate]]-Sales[[#This Row],[OrderDate]]</f>
        <v>5</v>
      </c>
      <c r="T642" s="14" t="str">
        <f>IF(Sales[[#This Row],[Delivery Days]]&lt;=$W$2, "Timely", "Delayed")</f>
        <v>Timely</v>
      </c>
      <c r="U642" t="s">
        <v>2926</v>
      </c>
    </row>
    <row r="643" spans="1:21" x14ac:dyDescent="0.25">
      <c r="A643" s="4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 s="6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1">
        <v>45817</v>
      </c>
      <c r="R643" s="1">
        <v>45820</v>
      </c>
      <c r="S643" s="14">
        <f>Sales[[#This Row],[DeliveryDate]]-Sales[[#This Row],[OrderDate]]</f>
        <v>3</v>
      </c>
      <c r="T643" s="14" t="str">
        <f>IF(Sales[[#This Row],[Delivery Days]]&lt;=$W$2, "Timely", "Delayed")</f>
        <v>Timely</v>
      </c>
      <c r="U643" t="s">
        <v>2925</v>
      </c>
    </row>
    <row r="644" spans="1:21" x14ac:dyDescent="0.25">
      <c r="A644" s="4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 s="6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1">
        <v>45814</v>
      </c>
      <c r="R644" s="1">
        <v>45824</v>
      </c>
      <c r="S644" s="14">
        <f>Sales[[#This Row],[DeliveryDate]]-Sales[[#This Row],[OrderDate]]</f>
        <v>10</v>
      </c>
      <c r="T644" s="14" t="str">
        <f>IF(Sales[[#This Row],[Delivery Days]]&lt;=$W$2, "Timely", "Delayed")</f>
        <v>Delayed</v>
      </c>
      <c r="U644" t="s">
        <v>2922</v>
      </c>
    </row>
    <row r="645" spans="1:21" x14ac:dyDescent="0.25">
      <c r="A645" s="4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 s="6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1">
        <v>45649</v>
      </c>
      <c r="R645" s="1">
        <v>45654</v>
      </c>
      <c r="S645" s="14">
        <f>Sales[[#This Row],[DeliveryDate]]-Sales[[#This Row],[OrderDate]]</f>
        <v>5</v>
      </c>
      <c r="T645" s="14" t="str">
        <f>IF(Sales[[#This Row],[Delivery Days]]&lt;=$W$2, "Timely", "Delayed")</f>
        <v>Timely</v>
      </c>
      <c r="U645" t="s">
        <v>2923</v>
      </c>
    </row>
    <row r="646" spans="1:21" x14ac:dyDescent="0.25">
      <c r="A646" s="4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 s="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1">
        <v>45165</v>
      </c>
      <c r="R646" s="1">
        <v>45172</v>
      </c>
      <c r="S646" s="14">
        <f>Sales[[#This Row],[DeliveryDate]]-Sales[[#This Row],[OrderDate]]</f>
        <v>7</v>
      </c>
      <c r="T646" s="14" t="str">
        <f>IF(Sales[[#This Row],[Delivery Days]]&lt;=$W$2, "Timely", "Delayed")</f>
        <v>Delayed</v>
      </c>
      <c r="U646" t="s">
        <v>2922</v>
      </c>
    </row>
    <row r="647" spans="1:21" x14ac:dyDescent="0.25">
      <c r="A647" s="4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 s="6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1">
        <v>44935</v>
      </c>
      <c r="R647" s="1">
        <v>44939</v>
      </c>
      <c r="S647" s="14">
        <f>Sales[[#This Row],[DeliveryDate]]-Sales[[#This Row],[OrderDate]]</f>
        <v>4</v>
      </c>
      <c r="T647" s="14" t="str">
        <f>IF(Sales[[#This Row],[Delivery Days]]&lt;=$W$2, "Timely", "Delayed")</f>
        <v>Timely</v>
      </c>
      <c r="U647" t="s">
        <v>2922</v>
      </c>
    </row>
    <row r="648" spans="1:21" x14ac:dyDescent="0.25">
      <c r="A648" s="4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 s="6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1">
        <v>45769</v>
      </c>
      <c r="R648" s="1">
        <v>45772</v>
      </c>
      <c r="S648" s="14">
        <f>Sales[[#This Row],[DeliveryDate]]-Sales[[#This Row],[OrderDate]]</f>
        <v>3</v>
      </c>
      <c r="T648" s="14" t="str">
        <f>IF(Sales[[#This Row],[Delivery Days]]&lt;=$W$2, "Timely", "Delayed")</f>
        <v>Timely</v>
      </c>
      <c r="U648" t="s">
        <v>2922</v>
      </c>
    </row>
    <row r="649" spans="1:21" x14ac:dyDescent="0.25">
      <c r="A649" s="4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 s="6">
        <v>115.66800000000001</v>
      </c>
      <c r="K649" t="s">
        <v>43</v>
      </c>
      <c r="L649" t="s">
        <v>2941</v>
      </c>
      <c r="M649">
        <v>0</v>
      </c>
      <c r="N649" t="s">
        <v>698</v>
      </c>
      <c r="O649" t="s">
        <v>2172</v>
      </c>
      <c r="P649">
        <v>48.92</v>
      </c>
      <c r="Q649" s="1">
        <v>45175</v>
      </c>
      <c r="R649" s="1">
        <v>45180</v>
      </c>
      <c r="S649" s="14">
        <f>Sales[[#This Row],[DeliveryDate]]-Sales[[#This Row],[OrderDate]]</f>
        <v>5</v>
      </c>
      <c r="T649" s="14" t="str">
        <f>IF(Sales[[#This Row],[Delivery Days]]&lt;=$W$2, "Timely", "Delayed")</f>
        <v>Timely</v>
      </c>
      <c r="U649" t="s">
        <v>2923</v>
      </c>
    </row>
    <row r="650" spans="1:21" x14ac:dyDescent="0.25">
      <c r="A650" s="4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 s="6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1">
        <v>44947</v>
      </c>
      <c r="R650" s="1">
        <v>44953</v>
      </c>
      <c r="S650" s="14">
        <f>Sales[[#This Row],[DeliveryDate]]-Sales[[#This Row],[OrderDate]]</f>
        <v>6</v>
      </c>
      <c r="T650" s="14" t="str">
        <f>IF(Sales[[#This Row],[Delivery Days]]&lt;=$W$2, "Timely", "Delayed")</f>
        <v>Timely</v>
      </c>
      <c r="U650" t="s">
        <v>2922</v>
      </c>
    </row>
    <row r="651" spans="1:21" x14ac:dyDescent="0.25">
      <c r="A651" s="4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 s="6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1">
        <v>45408</v>
      </c>
      <c r="R651" s="1">
        <v>45418</v>
      </c>
      <c r="S651" s="14">
        <f>Sales[[#This Row],[DeliveryDate]]-Sales[[#This Row],[OrderDate]]</f>
        <v>10</v>
      </c>
      <c r="T651" s="14" t="str">
        <f>IF(Sales[[#This Row],[Delivery Days]]&lt;=$W$2, "Timely", "Delayed")</f>
        <v>Delayed</v>
      </c>
      <c r="U651" t="s">
        <v>2925</v>
      </c>
    </row>
    <row r="652" spans="1:21" x14ac:dyDescent="0.25">
      <c r="A652" s="4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 s="6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1">
        <v>45104</v>
      </c>
      <c r="R652" s="1">
        <v>45107</v>
      </c>
      <c r="S652" s="14">
        <f>Sales[[#This Row],[DeliveryDate]]-Sales[[#This Row],[OrderDate]]</f>
        <v>3</v>
      </c>
      <c r="T652" s="14" t="str">
        <f>IF(Sales[[#This Row],[Delivery Days]]&lt;=$W$2, "Timely", "Delayed")</f>
        <v>Timely</v>
      </c>
      <c r="U652" t="s">
        <v>2924</v>
      </c>
    </row>
    <row r="653" spans="1:21" x14ac:dyDescent="0.25">
      <c r="A653" s="4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 s="6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1">
        <v>44927</v>
      </c>
      <c r="R653" s="1">
        <v>44934</v>
      </c>
      <c r="S653" s="14">
        <f>Sales[[#This Row],[DeliveryDate]]-Sales[[#This Row],[OrderDate]]</f>
        <v>7</v>
      </c>
      <c r="T653" s="14" t="str">
        <f>IF(Sales[[#This Row],[Delivery Days]]&lt;=$W$2, "Timely", "Delayed")</f>
        <v>Delayed</v>
      </c>
      <c r="U653" t="s">
        <v>2922</v>
      </c>
    </row>
    <row r="654" spans="1:21" x14ac:dyDescent="0.25">
      <c r="A654" s="4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 s="6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1">
        <v>45290</v>
      </c>
      <c r="R654" s="1">
        <v>45293</v>
      </c>
      <c r="S654" s="14">
        <f>Sales[[#This Row],[DeliveryDate]]-Sales[[#This Row],[OrderDate]]</f>
        <v>3</v>
      </c>
      <c r="T654" s="14" t="str">
        <f>IF(Sales[[#This Row],[Delivery Days]]&lt;=$W$2, "Timely", "Delayed")</f>
        <v>Timely</v>
      </c>
      <c r="U654" t="s">
        <v>2926</v>
      </c>
    </row>
    <row r="655" spans="1:21" x14ac:dyDescent="0.25">
      <c r="A655" s="4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 s="6">
        <v>562.62599999999998</v>
      </c>
      <c r="K655" t="s">
        <v>43</v>
      </c>
      <c r="L655" t="s">
        <v>2941</v>
      </c>
      <c r="M655">
        <v>0</v>
      </c>
      <c r="N655" t="s">
        <v>704</v>
      </c>
      <c r="O655" t="s">
        <v>2178</v>
      </c>
      <c r="P655">
        <v>8.6199999999999992</v>
      </c>
      <c r="Q655" s="1">
        <v>44948</v>
      </c>
      <c r="R655" s="1">
        <v>44950</v>
      </c>
      <c r="S655" s="14">
        <f>Sales[[#This Row],[DeliveryDate]]-Sales[[#This Row],[OrderDate]]</f>
        <v>2</v>
      </c>
      <c r="T655" s="14" t="str">
        <f>IF(Sales[[#This Row],[Delivery Days]]&lt;=$W$2, "Timely", "Delayed")</f>
        <v>Timely</v>
      </c>
      <c r="U655" t="s">
        <v>2925</v>
      </c>
    </row>
    <row r="656" spans="1:21" x14ac:dyDescent="0.25">
      <c r="A656" s="4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 s="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1">
        <v>45500</v>
      </c>
      <c r="R656" s="1">
        <v>45509</v>
      </c>
      <c r="S656" s="14">
        <f>Sales[[#This Row],[DeliveryDate]]-Sales[[#This Row],[OrderDate]]</f>
        <v>9</v>
      </c>
      <c r="T656" s="14" t="str">
        <f>IF(Sales[[#This Row],[Delivery Days]]&lt;=$W$2, "Timely", "Delayed")</f>
        <v>Delayed</v>
      </c>
      <c r="U656" t="s">
        <v>2923</v>
      </c>
    </row>
    <row r="657" spans="1:21" x14ac:dyDescent="0.25">
      <c r="A657" s="4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 s="6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1">
        <v>45306</v>
      </c>
      <c r="R657" s="1">
        <v>45308</v>
      </c>
      <c r="S657" s="14">
        <f>Sales[[#This Row],[DeliveryDate]]-Sales[[#This Row],[OrderDate]]</f>
        <v>2</v>
      </c>
      <c r="T657" s="14" t="str">
        <f>IF(Sales[[#This Row],[Delivery Days]]&lt;=$W$2, "Timely", "Delayed")</f>
        <v>Timely</v>
      </c>
      <c r="U657" t="s">
        <v>2923</v>
      </c>
    </row>
    <row r="658" spans="1:21" x14ac:dyDescent="0.25">
      <c r="A658" s="4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 s="6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1">
        <v>45295</v>
      </c>
      <c r="R658" s="1">
        <v>45305</v>
      </c>
      <c r="S658" s="14">
        <f>Sales[[#This Row],[DeliveryDate]]-Sales[[#This Row],[OrderDate]]</f>
        <v>10</v>
      </c>
      <c r="T658" s="14" t="str">
        <f>IF(Sales[[#This Row],[Delivery Days]]&lt;=$W$2, "Timely", "Delayed")</f>
        <v>Delayed</v>
      </c>
      <c r="U658" t="s">
        <v>2926</v>
      </c>
    </row>
    <row r="659" spans="1:21" x14ac:dyDescent="0.25">
      <c r="A659" s="4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 s="6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1">
        <v>44966</v>
      </c>
      <c r="R659" s="1">
        <v>44976</v>
      </c>
      <c r="S659" s="14">
        <f>Sales[[#This Row],[DeliveryDate]]-Sales[[#This Row],[OrderDate]]</f>
        <v>10</v>
      </c>
      <c r="T659" s="14" t="str">
        <f>IF(Sales[[#This Row],[Delivery Days]]&lt;=$W$2, "Timely", "Delayed")</f>
        <v>Delayed</v>
      </c>
      <c r="U659" t="s">
        <v>2922</v>
      </c>
    </row>
    <row r="660" spans="1:21" x14ac:dyDescent="0.25">
      <c r="A660" s="4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 s="6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1">
        <v>45463</v>
      </c>
      <c r="R660" s="1">
        <v>45467</v>
      </c>
      <c r="S660" s="14">
        <f>Sales[[#This Row],[DeliveryDate]]-Sales[[#This Row],[OrderDate]]</f>
        <v>4</v>
      </c>
      <c r="T660" s="14" t="str">
        <f>IF(Sales[[#This Row],[Delivery Days]]&lt;=$W$2, "Timely", "Delayed")</f>
        <v>Timely</v>
      </c>
      <c r="U660" t="s">
        <v>2924</v>
      </c>
    </row>
    <row r="661" spans="1:21" x14ac:dyDescent="0.25">
      <c r="A661" s="4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 s="6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1">
        <v>44978</v>
      </c>
      <c r="R661" s="1">
        <v>44988</v>
      </c>
      <c r="S661" s="14">
        <f>Sales[[#This Row],[DeliveryDate]]-Sales[[#This Row],[OrderDate]]</f>
        <v>10</v>
      </c>
      <c r="T661" s="14" t="str">
        <f>IF(Sales[[#This Row],[Delivery Days]]&lt;=$W$2, "Timely", "Delayed")</f>
        <v>Delayed</v>
      </c>
      <c r="U661" t="s">
        <v>2925</v>
      </c>
    </row>
    <row r="662" spans="1:21" x14ac:dyDescent="0.25">
      <c r="A662" s="4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 s="6">
        <v>2557.08</v>
      </c>
      <c r="K662" t="s">
        <v>43</v>
      </c>
      <c r="L662" t="s">
        <v>2941</v>
      </c>
      <c r="M662">
        <v>1</v>
      </c>
      <c r="N662" t="s">
        <v>711</v>
      </c>
      <c r="O662" t="s">
        <v>2184</v>
      </c>
      <c r="P662">
        <v>38.590000000000003</v>
      </c>
      <c r="Q662" s="1">
        <v>45154</v>
      </c>
      <c r="R662" s="1">
        <v>45162</v>
      </c>
      <c r="S662" s="14">
        <f>Sales[[#This Row],[DeliveryDate]]-Sales[[#This Row],[OrderDate]]</f>
        <v>8</v>
      </c>
      <c r="T662" s="14" t="str">
        <f>IF(Sales[[#This Row],[Delivery Days]]&lt;=$W$2, "Timely", "Delayed")</f>
        <v>Delayed</v>
      </c>
      <c r="U662" t="s">
        <v>2925</v>
      </c>
    </row>
    <row r="663" spans="1:21" x14ac:dyDescent="0.25">
      <c r="A663" s="4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 s="6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1">
        <v>45233</v>
      </c>
      <c r="R663" s="1">
        <v>45241</v>
      </c>
      <c r="S663" s="14">
        <f>Sales[[#This Row],[DeliveryDate]]-Sales[[#This Row],[OrderDate]]</f>
        <v>8</v>
      </c>
      <c r="T663" s="14" t="str">
        <f>IF(Sales[[#This Row],[Delivery Days]]&lt;=$W$2, "Timely", "Delayed")</f>
        <v>Delayed</v>
      </c>
      <c r="U663" t="s">
        <v>2926</v>
      </c>
    </row>
    <row r="664" spans="1:21" x14ac:dyDescent="0.25">
      <c r="A664" s="4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 s="6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1">
        <v>45408</v>
      </c>
      <c r="R664" s="1">
        <v>45413</v>
      </c>
      <c r="S664" s="14">
        <f>Sales[[#This Row],[DeliveryDate]]-Sales[[#This Row],[OrderDate]]</f>
        <v>5</v>
      </c>
      <c r="T664" s="14" t="str">
        <f>IF(Sales[[#This Row],[Delivery Days]]&lt;=$W$2, "Timely", "Delayed")</f>
        <v>Timely</v>
      </c>
      <c r="U664" t="s">
        <v>2923</v>
      </c>
    </row>
    <row r="665" spans="1:21" x14ac:dyDescent="0.25">
      <c r="A665" s="4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 s="6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1">
        <v>45573</v>
      </c>
      <c r="R665" s="1">
        <v>45582</v>
      </c>
      <c r="S665" s="14">
        <f>Sales[[#This Row],[DeliveryDate]]-Sales[[#This Row],[OrderDate]]</f>
        <v>9</v>
      </c>
      <c r="T665" s="14" t="str">
        <f>IF(Sales[[#This Row],[Delivery Days]]&lt;=$W$2, "Timely", "Delayed")</f>
        <v>Delayed</v>
      </c>
      <c r="U665" t="s">
        <v>2923</v>
      </c>
    </row>
    <row r="666" spans="1:21" x14ac:dyDescent="0.25">
      <c r="A666" s="4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 s="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1">
        <v>44935</v>
      </c>
      <c r="R666" s="1">
        <v>44943</v>
      </c>
      <c r="S666" s="14">
        <f>Sales[[#This Row],[DeliveryDate]]-Sales[[#This Row],[OrderDate]]</f>
        <v>8</v>
      </c>
      <c r="T666" s="14" t="str">
        <f>IF(Sales[[#This Row],[Delivery Days]]&lt;=$W$2, "Timely", "Delayed")</f>
        <v>Delayed</v>
      </c>
      <c r="U666" t="s">
        <v>2923</v>
      </c>
    </row>
    <row r="667" spans="1:21" x14ac:dyDescent="0.25">
      <c r="A667" s="4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 s="6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1">
        <v>45285</v>
      </c>
      <c r="R667" s="1">
        <v>45293</v>
      </c>
      <c r="S667" s="14">
        <f>Sales[[#This Row],[DeliveryDate]]-Sales[[#This Row],[OrderDate]]</f>
        <v>8</v>
      </c>
      <c r="T667" s="14" t="str">
        <f>IF(Sales[[#This Row],[Delivery Days]]&lt;=$W$2, "Timely", "Delayed")</f>
        <v>Delayed</v>
      </c>
      <c r="U667" t="s">
        <v>2924</v>
      </c>
    </row>
    <row r="668" spans="1:21" x14ac:dyDescent="0.25">
      <c r="A668" s="4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 s="6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1">
        <v>45423</v>
      </c>
      <c r="R668" s="1">
        <v>45432</v>
      </c>
      <c r="S668" s="14">
        <f>Sales[[#This Row],[DeliveryDate]]-Sales[[#This Row],[OrderDate]]</f>
        <v>9</v>
      </c>
      <c r="T668" s="14" t="str">
        <f>IF(Sales[[#This Row],[Delivery Days]]&lt;=$W$2, "Timely", "Delayed")</f>
        <v>Delayed</v>
      </c>
      <c r="U668" t="s">
        <v>2925</v>
      </c>
    </row>
    <row r="669" spans="1:21" x14ac:dyDescent="0.25">
      <c r="A669" s="4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 s="6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1">
        <v>45253</v>
      </c>
      <c r="R669" s="1">
        <v>45256</v>
      </c>
      <c r="S669" s="14">
        <f>Sales[[#This Row],[DeliveryDate]]-Sales[[#This Row],[OrderDate]]</f>
        <v>3</v>
      </c>
      <c r="T669" s="14" t="str">
        <f>IF(Sales[[#This Row],[Delivery Days]]&lt;=$W$2, "Timely", "Delayed")</f>
        <v>Timely</v>
      </c>
      <c r="U669" t="s">
        <v>2926</v>
      </c>
    </row>
    <row r="670" spans="1:21" x14ac:dyDescent="0.25">
      <c r="A670" s="4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 s="6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1">
        <v>45270</v>
      </c>
      <c r="R670" s="1">
        <v>45272</v>
      </c>
      <c r="S670" s="14">
        <f>Sales[[#This Row],[DeliveryDate]]-Sales[[#This Row],[OrderDate]]</f>
        <v>2</v>
      </c>
      <c r="T670" s="14" t="str">
        <f>IF(Sales[[#This Row],[Delivery Days]]&lt;=$W$2, "Timely", "Delayed")</f>
        <v>Timely</v>
      </c>
      <c r="U670" t="s">
        <v>2925</v>
      </c>
    </row>
    <row r="671" spans="1:21" x14ac:dyDescent="0.25">
      <c r="A671" s="4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 s="6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1">
        <v>45325</v>
      </c>
      <c r="R671" s="1">
        <v>45327</v>
      </c>
      <c r="S671" s="14">
        <f>Sales[[#This Row],[DeliveryDate]]-Sales[[#This Row],[OrderDate]]</f>
        <v>2</v>
      </c>
      <c r="T671" s="14" t="str">
        <f>IF(Sales[[#This Row],[Delivery Days]]&lt;=$W$2, "Timely", "Delayed")</f>
        <v>Timely</v>
      </c>
      <c r="U671" t="s">
        <v>2924</v>
      </c>
    </row>
    <row r="672" spans="1:21" x14ac:dyDescent="0.25">
      <c r="A672" s="4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 s="6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1">
        <v>45620</v>
      </c>
      <c r="R672" s="1">
        <v>45630</v>
      </c>
      <c r="S672" s="14">
        <f>Sales[[#This Row],[DeliveryDate]]-Sales[[#This Row],[OrderDate]]</f>
        <v>10</v>
      </c>
      <c r="T672" s="14" t="str">
        <f>IF(Sales[[#This Row],[Delivery Days]]&lt;=$W$2, "Timely", "Delayed")</f>
        <v>Delayed</v>
      </c>
      <c r="U672" t="s">
        <v>2925</v>
      </c>
    </row>
    <row r="673" spans="1:21" x14ac:dyDescent="0.25">
      <c r="A673" s="4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 s="6">
        <v>324.02850000000001</v>
      </c>
      <c r="K673" t="s">
        <v>43</v>
      </c>
      <c r="L673" t="s">
        <v>2941</v>
      </c>
      <c r="M673">
        <v>0</v>
      </c>
      <c r="N673" t="s">
        <v>722</v>
      </c>
      <c r="O673" t="s">
        <v>2195</v>
      </c>
      <c r="P673">
        <v>9.9499999999999993</v>
      </c>
      <c r="Q673" s="1">
        <v>45357</v>
      </c>
      <c r="R673" s="1">
        <v>45362</v>
      </c>
      <c r="S673" s="14">
        <f>Sales[[#This Row],[DeliveryDate]]-Sales[[#This Row],[OrderDate]]</f>
        <v>5</v>
      </c>
      <c r="T673" s="14" t="str">
        <f>IF(Sales[[#This Row],[Delivery Days]]&lt;=$W$2, "Timely", "Delayed")</f>
        <v>Timely</v>
      </c>
      <c r="U673" t="s">
        <v>2926</v>
      </c>
    </row>
    <row r="674" spans="1:21" x14ac:dyDescent="0.25">
      <c r="A674" s="4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 s="6">
        <v>162.47749999999999</v>
      </c>
      <c r="K674" t="s">
        <v>46</v>
      </c>
      <c r="L674" t="s">
        <v>2941</v>
      </c>
      <c r="M674">
        <v>0</v>
      </c>
      <c r="N674" t="s">
        <v>723</v>
      </c>
      <c r="O674" t="s">
        <v>2196</v>
      </c>
      <c r="P674">
        <v>21.06</v>
      </c>
      <c r="Q674" s="1">
        <v>45689</v>
      </c>
      <c r="R674" s="1">
        <v>45699</v>
      </c>
      <c r="S674" s="14">
        <f>Sales[[#This Row],[DeliveryDate]]-Sales[[#This Row],[OrderDate]]</f>
        <v>10</v>
      </c>
      <c r="T674" s="14" t="str">
        <f>IF(Sales[[#This Row],[Delivery Days]]&lt;=$W$2, "Timely", "Delayed")</f>
        <v>Delayed</v>
      </c>
      <c r="U674" t="s">
        <v>2923</v>
      </c>
    </row>
    <row r="675" spans="1:21" x14ac:dyDescent="0.25">
      <c r="A675" s="4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 s="6">
        <v>1581.02</v>
      </c>
      <c r="K675" t="s">
        <v>46</v>
      </c>
      <c r="L675" t="s">
        <v>2941</v>
      </c>
      <c r="M675">
        <v>0</v>
      </c>
      <c r="N675" t="s">
        <v>724</v>
      </c>
      <c r="O675" t="s">
        <v>2197</v>
      </c>
      <c r="P675">
        <v>24.48</v>
      </c>
      <c r="Q675" s="1">
        <v>45447</v>
      </c>
      <c r="R675" s="1">
        <v>45452</v>
      </c>
      <c r="S675" s="14">
        <f>Sales[[#This Row],[DeliveryDate]]-Sales[[#This Row],[OrderDate]]</f>
        <v>5</v>
      </c>
      <c r="T675" s="14" t="str">
        <f>IF(Sales[[#This Row],[Delivery Days]]&lt;=$W$2, "Timely", "Delayed")</f>
        <v>Timely</v>
      </c>
      <c r="U675" t="s">
        <v>2925</v>
      </c>
    </row>
    <row r="676" spans="1:21" x14ac:dyDescent="0.25">
      <c r="A676" s="4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 s="6">
        <v>4164.9519999999993</v>
      </c>
      <c r="K676" t="s">
        <v>43</v>
      </c>
      <c r="L676" t="s">
        <v>2941</v>
      </c>
      <c r="M676">
        <v>0</v>
      </c>
      <c r="N676" t="s">
        <v>725</v>
      </c>
      <c r="O676" t="s">
        <v>2198</v>
      </c>
      <c r="P676">
        <v>33.4</v>
      </c>
      <c r="Q676" s="1">
        <v>45144</v>
      </c>
      <c r="R676" s="1">
        <v>45151</v>
      </c>
      <c r="S676" s="14">
        <f>Sales[[#This Row],[DeliveryDate]]-Sales[[#This Row],[OrderDate]]</f>
        <v>7</v>
      </c>
      <c r="T676" s="14" t="str">
        <f>IF(Sales[[#This Row],[Delivery Days]]&lt;=$W$2, "Timely", "Delayed")</f>
        <v>Delayed</v>
      </c>
      <c r="U676" t="s">
        <v>2925</v>
      </c>
    </row>
    <row r="677" spans="1:21" x14ac:dyDescent="0.25">
      <c r="A677" s="4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 s="6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1">
        <v>45107</v>
      </c>
      <c r="R677" s="1">
        <v>45112</v>
      </c>
      <c r="S677" s="14">
        <f>Sales[[#This Row],[DeliveryDate]]-Sales[[#This Row],[OrderDate]]</f>
        <v>5</v>
      </c>
      <c r="T677" s="14" t="str">
        <f>IF(Sales[[#This Row],[Delivery Days]]&lt;=$W$2, "Timely", "Delayed")</f>
        <v>Timely</v>
      </c>
      <c r="U677" t="s">
        <v>2926</v>
      </c>
    </row>
    <row r="678" spans="1:21" x14ac:dyDescent="0.25">
      <c r="A678" s="4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 s="6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1">
        <v>44972</v>
      </c>
      <c r="R678" s="1">
        <v>44976</v>
      </c>
      <c r="S678" s="14">
        <f>Sales[[#This Row],[DeliveryDate]]-Sales[[#This Row],[OrderDate]]</f>
        <v>4</v>
      </c>
      <c r="T678" s="14" t="str">
        <f>IF(Sales[[#This Row],[Delivery Days]]&lt;=$W$2, "Timely", "Delayed")</f>
        <v>Timely</v>
      </c>
      <c r="U678" t="s">
        <v>2926</v>
      </c>
    </row>
    <row r="679" spans="1:21" x14ac:dyDescent="0.25">
      <c r="A679" s="4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 s="6">
        <v>385.47199999999998</v>
      </c>
      <c r="K679" t="s">
        <v>46</v>
      </c>
      <c r="L679" t="s">
        <v>2941</v>
      </c>
      <c r="M679">
        <v>0</v>
      </c>
      <c r="N679" t="s">
        <v>728</v>
      </c>
      <c r="O679" t="s">
        <v>2201</v>
      </c>
      <c r="P679">
        <v>12.35</v>
      </c>
      <c r="Q679" s="1">
        <v>45314</v>
      </c>
      <c r="R679" s="1">
        <v>45321</v>
      </c>
      <c r="S679" s="14">
        <f>Sales[[#This Row],[DeliveryDate]]-Sales[[#This Row],[OrderDate]]</f>
        <v>7</v>
      </c>
      <c r="T679" s="14" t="str">
        <f>IF(Sales[[#This Row],[Delivery Days]]&lt;=$W$2, "Timely", "Delayed")</f>
        <v>Delayed</v>
      </c>
      <c r="U679" t="s">
        <v>2924</v>
      </c>
    </row>
    <row r="680" spans="1:21" x14ac:dyDescent="0.25">
      <c r="A680" s="4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 s="6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1">
        <v>45596</v>
      </c>
      <c r="R680" s="1">
        <v>45602</v>
      </c>
      <c r="S680" s="14">
        <f>Sales[[#This Row],[DeliveryDate]]-Sales[[#This Row],[OrderDate]]</f>
        <v>6</v>
      </c>
      <c r="T680" s="14" t="str">
        <f>IF(Sales[[#This Row],[Delivery Days]]&lt;=$W$2, "Timely", "Delayed")</f>
        <v>Timely</v>
      </c>
      <c r="U680" t="s">
        <v>2924</v>
      </c>
    </row>
    <row r="681" spans="1:21" x14ac:dyDescent="0.25">
      <c r="A681" s="4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 s="6">
        <v>881.44999999999993</v>
      </c>
      <c r="K681" t="s">
        <v>47</v>
      </c>
      <c r="L681" t="s">
        <v>2941</v>
      </c>
      <c r="M681">
        <v>0</v>
      </c>
      <c r="N681" t="s">
        <v>730</v>
      </c>
      <c r="O681" t="s">
        <v>2203</v>
      </c>
      <c r="P681">
        <v>33.159999999999997</v>
      </c>
      <c r="Q681" s="1">
        <v>45279</v>
      </c>
      <c r="R681" s="1">
        <v>45281</v>
      </c>
      <c r="S681" s="14">
        <f>Sales[[#This Row],[DeliveryDate]]-Sales[[#This Row],[OrderDate]]</f>
        <v>2</v>
      </c>
      <c r="T681" s="14" t="str">
        <f>IF(Sales[[#This Row],[Delivery Days]]&lt;=$W$2, "Timely", "Delayed")</f>
        <v>Timely</v>
      </c>
      <c r="U681" t="s">
        <v>2925</v>
      </c>
    </row>
    <row r="682" spans="1:21" x14ac:dyDescent="0.25">
      <c r="A682" s="4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 s="6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1">
        <v>45111</v>
      </c>
      <c r="R682" s="1">
        <v>45113</v>
      </c>
      <c r="S682" s="14">
        <f>Sales[[#This Row],[DeliveryDate]]-Sales[[#This Row],[OrderDate]]</f>
        <v>2</v>
      </c>
      <c r="T682" s="14" t="str">
        <f>IF(Sales[[#This Row],[Delivery Days]]&lt;=$W$2, "Timely", "Delayed")</f>
        <v>Timely</v>
      </c>
      <c r="U682" t="s">
        <v>2923</v>
      </c>
    </row>
    <row r="683" spans="1:21" x14ac:dyDescent="0.25">
      <c r="A683" s="4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 s="6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1">
        <v>45428</v>
      </c>
      <c r="R683" s="1">
        <v>45430</v>
      </c>
      <c r="S683" s="14">
        <f>Sales[[#This Row],[DeliveryDate]]-Sales[[#This Row],[OrderDate]]</f>
        <v>2</v>
      </c>
      <c r="T683" s="14" t="str">
        <f>IF(Sales[[#This Row],[Delivery Days]]&lt;=$W$2, "Timely", "Delayed")</f>
        <v>Timely</v>
      </c>
      <c r="U683" t="s">
        <v>2922</v>
      </c>
    </row>
    <row r="684" spans="1:21" x14ac:dyDescent="0.25">
      <c r="A684" s="4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 s="6">
        <v>1638.72</v>
      </c>
      <c r="K684" t="s">
        <v>47</v>
      </c>
      <c r="L684" t="s">
        <v>2941</v>
      </c>
      <c r="M684">
        <v>0</v>
      </c>
      <c r="N684" t="s">
        <v>733</v>
      </c>
      <c r="O684" t="s">
        <v>2205</v>
      </c>
      <c r="P684">
        <v>43.4</v>
      </c>
      <c r="Q684" s="1">
        <v>45185</v>
      </c>
      <c r="R684" s="1">
        <v>45190</v>
      </c>
      <c r="S684" s="14">
        <f>Sales[[#This Row],[DeliveryDate]]-Sales[[#This Row],[OrderDate]]</f>
        <v>5</v>
      </c>
      <c r="T684" s="14" t="str">
        <f>IF(Sales[[#This Row],[Delivery Days]]&lt;=$W$2, "Timely", "Delayed")</f>
        <v>Timely</v>
      </c>
      <c r="U684" t="s">
        <v>2924</v>
      </c>
    </row>
    <row r="685" spans="1:21" x14ac:dyDescent="0.25">
      <c r="A685" s="4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 s="6">
        <v>1610.91</v>
      </c>
      <c r="K685" t="s">
        <v>46</v>
      </c>
      <c r="L685" t="s">
        <v>2941</v>
      </c>
      <c r="M685">
        <v>0</v>
      </c>
      <c r="N685" t="s">
        <v>734</v>
      </c>
      <c r="O685" t="s">
        <v>2206</v>
      </c>
      <c r="P685">
        <v>13.86</v>
      </c>
      <c r="Q685" s="1">
        <v>45618</v>
      </c>
      <c r="R685" s="1">
        <v>45627</v>
      </c>
      <c r="S685" s="14">
        <f>Sales[[#This Row],[DeliveryDate]]-Sales[[#This Row],[OrderDate]]</f>
        <v>9</v>
      </c>
      <c r="T685" s="14" t="str">
        <f>IF(Sales[[#This Row],[Delivery Days]]&lt;=$W$2, "Timely", "Delayed")</f>
        <v>Delayed</v>
      </c>
      <c r="U685" t="s">
        <v>2922</v>
      </c>
    </row>
    <row r="686" spans="1:21" x14ac:dyDescent="0.25">
      <c r="A686" s="4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 s="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1">
        <v>45395</v>
      </c>
      <c r="R686" s="1">
        <v>45403</v>
      </c>
      <c r="S686" s="14">
        <f>Sales[[#This Row],[DeliveryDate]]-Sales[[#This Row],[OrderDate]]</f>
        <v>8</v>
      </c>
      <c r="T686" s="14" t="str">
        <f>IF(Sales[[#This Row],[Delivery Days]]&lt;=$W$2, "Timely", "Delayed")</f>
        <v>Delayed</v>
      </c>
      <c r="U686" t="s">
        <v>2926</v>
      </c>
    </row>
    <row r="687" spans="1:21" x14ac:dyDescent="0.25">
      <c r="A687" s="4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 s="6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1">
        <v>45473</v>
      </c>
      <c r="R687" s="1">
        <v>45479</v>
      </c>
      <c r="S687" s="14">
        <f>Sales[[#This Row],[DeliveryDate]]-Sales[[#This Row],[OrderDate]]</f>
        <v>6</v>
      </c>
      <c r="T687" s="14" t="str">
        <f>IF(Sales[[#This Row],[Delivery Days]]&lt;=$W$2, "Timely", "Delayed")</f>
        <v>Timely</v>
      </c>
      <c r="U687" t="s">
        <v>2923</v>
      </c>
    </row>
    <row r="688" spans="1:21" x14ac:dyDescent="0.25">
      <c r="A688" s="4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 s="6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1">
        <v>45533</v>
      </c>
      <c r="R688" s="1">
        <v>45537</v>
      </c>
      <c r="S688" s="14">
        <f>Sales[[#This Row],[DeliveryDate]]-Sales[[#This Row],[OrderDate]]</f>
        <v>4</v>
      </c>
      <c r="T688" s="14" t="str">
        <f>IF(Sales[[#This Row],[Delivery Days]]&lt;=$W$2, "Timely", "Delayed")</f>
        <v>Timely</v>
      </c>
      <c r="U688" t="s">
        <v>2924</v>
      </c>
    </row>
    <row r="689" spans="1:21" x14ac:dyDescent="0.25">
      <c r="A689" s="4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 s="6">
        <v>626.75099999999998</v>
      </c>
      <c r="K689" t="s">
        <v>47</v>
      </c>
      <c r="L689" t="s">
        <v>2941</v>
      </c>
      <c r="M689">
        <v>1</v>
      </c>
      <c r="N689" t="s">
        <v>738</v>
      </c>
      <c r="O689" t="s">
        <v>2210</v>
      </c>
      <c r="P689">
        <v>46.65</v>
      </c>
      <c r="Q689" s="1">
        <v>45286</v>
      </c>
      <c r="R689" s="1">
        <v>45291</v>
      </c>
      <c r="S689" s="14">
        <f>Sales[[#This Row],[DeliveryDate]]-Sales[[#This Row],[OrderDate]]</f>
        <v>5</v>
      </c>
      <c r="T689" s="14" t="str">
        <f>IF(Sales[[#This Row],[Delivery Days]]&lt;=$W$2, "Timely", "Delayed")</f>
        <v>Timely</v>
      </c>
      <c r="U689" t="s">
        <v>2925</v>
      </c>
    </row>
    <row r="690" spans="1:21" x14ac:dyDescent="0.25">
      <c r="A690" s="4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 s="6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1">
        <v>45687</v>
      </c>
      <c r="R690" s="1">
        <v>45694</v>
      </c>
      <c r="S690" s="14">
        <f>Sales[[#This Row],[DeliveryDate]]-Sales[[#This Row],[OrderDate]]</f>
        <v>7</v>
      </c>
      <c r="T690" s="14" t="str">
        <f>IF(Sales[[#This Row],[Delivery Days]]&lt;=$W$2, "Timely", "Delayed")</f>
        <v>Delayed</v>
      </c>
      <c r="U690" t="s">
        <v>2924</v>
      </c>
    </row>
    <row r="691" spans="1:21" x14ac:dyDescent="0.25">
      <c r="A691" s="4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 s="6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1">
        <v>45063</v>
      </c>
      <c r="R691" s="1">
        <v>45071</v>
      </c>
      <c r="S691" s="14">
        <f>Sales[[#This Row],[DeliveryDate]]-Sales[[#This Row],[OrderDate]]</f>
        <v>8</v>
      </c>
      <c r="T691" s="14" t="str">
        <f>IF(Sales[[#This Row],[Delivery Days]]&lt;=$W$2, "Timely", "Delayed")</f>
        <v>Delayed</v>
      </c>
      <c r="U691" t="s">
        <v>2923</v>
      </c>
    </row>
    <row r="692" spans="1:21" x14ac:dyDescent="0.25">
      <c r="A692" s="4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 s="6">
        <v>1659.7439999999999</v>
      </c>
      <c r="K692" t="s">
        <v>43</v>
      </c>
      <c r="L692" t="s">
        <v>2941</v>
      </c>
      <c r="M692">
        <v>1</v>
      </c>
      <c r="N692" t="s">
        <v>741</v>
      </c>
      <c r="O692" t="s">
        <v>2213</v>
      </c>
      <c r="P692">
        <v>48.9</v>
      </c>
      <c r="Q692" s="1">
        <v>45318</v>
      </c>
      <c r="R692" s="1">
        <v>45327</v>
      </c>
      <c r="S692" s="14">
        <f>Sales[[#This Row],[DeliveryDate]]-Sales[[#This Row],[OrderDate]]</f>
        <v>9</v>
      </c>
      <c r="T692" s="14" t="str">
        <f>IF(Sales[[#This Row],[Delivery Days]]&lt;=$W$2, "Timely", "Delayed")</f>
        <v>Delayed</v>
      </c>
      <c r="U692" t="s">
        <v>2925</v>
      </c>
    </row>
    <row r="693" spans="1:21" x14ac:dyDescent="0.25">
      <c r="A693" s="4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 s="6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1">
        <v>45803</v>
      </c>
      <c r="R693" s="1">
        <v>45810</v>
      </c>
      <c r="S693" s="14">
        <f>Sales[[#This Row],[DeliveryDate]]-Sales[[#This Row],[OrderDate]]</f>
        <v>7</v>
      </c>
      <c r="T693" s="14" t="str">
        <f>IF(Sales[[#This Row],[Delivery Days]]&lt;=$W$2, "Timely", "Delayed")</f>
        <v>Delayed</v>
      </c>
      <c r="U693" t="s">
        <v>2922</v>
      </c>
    </row>
    <row r="694" spans="1:21" x14ac:dyDescent="0.25">
      <c r="A694" s="4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 s="6">
        <v>506.41</v>
      </c>
      <c r="K694" t="s">
        <v>47</v>
      </c>
      <c r="L694" t="s">
        <v>2941</v>
      </c>
      <c r="M694">
        <v>0</v>
      </c>
      <c r="N694" t="s">
        <v>743</v>
      </c>
      <c r="O694" t="s">
        <v>2215</v>
      </c>
      <c r="P694">
        <v>17.899999999999999</v>
      </c>
      <c r="Q694" s="1">
        <v>45725</v>
      </c>
      <c r="R694" s="1">
        <v>45733</v>
      </c>
      <c r="S694" s="14">
        <f>Sales[[#This Row],[DeliveryDate]]-Sales[[#This Row],[OrderDate]]</f>
        <v>8</v>
      </c>
      <c r="T694" s="14" t="str">
        <f>IF(Sales[[#This Row],[Delivery Days]]&lt;=$W$2, "Timely", "Delayed")</f>
        <v>Delayed</v>
      </c>
      <c r="U694" t="s">
        <v>2924</v>
      </c>
    </row>
    <row r="695" spans="1:21" x14ac:dyDescent="0.25">
      <c r="A695" s="4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 s="6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1">
        <v>45344</v>
      </c>
      <c r="R695" s="1">
        <v>45354</v>
      </c>
      <c r="S695" s="14">
        <f>Sales[[#This Row],[DeliveryDate]]-Sales[[#This Row],[OrderDate]]</f>
        <v>10</v>
      </c>
      <c r="T695" s="14" t="str">
        <f>IF(Sales[[#This Row],[Delivery Days]]&lt;=$W$2, "Timely", "Delayed")</f>
        <v>Delayed</v>
      </c>
      <c r="U695" t="s">
        <v>2926</v>
      </c>
    </row>
    <row r="696" spans="1:21" x14ac:dyDescent="0.25">
      <c r="A696" s="4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 s="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1">
        <v>45691</v>
      </c>
      <c r="R696" s="1">
        <v>45696</v>
      </c>
      <c r="S696" s="14">
        <f>Sales[[#This Row],[DeliveryDate]]-Sales[[#This Row],[OrderDate]]</f>
        <v>5</v>
      </c>
      <c r="T696" s="14" t="str">
        <f>IF(Sales[[#This Row],[Delivery Days]]&lt;=$W$2, "Timely", "Delayed")</f>
        <v>Timely</v>
      </c>
      <c r="U696" t="s">
        <v>2922</v>
      </c>
    </row>
    <row r="697" spans="1:21" x14ac:dyDescent="0.25">
      <c r="A697" s="4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 s="6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1">
        <v>45300</v>
      </c>
      <c r="R697" s="1">
        <v>45307</v>
      </c>
      <c r="S697" s="14">
        <f>Sales[[#This Row],[DeliveryDate]]-Sales[[#This Row],[OrderDate]]</f>
        <v>7</v>
      </c>
      <c r="T697" s="14" t="str">
        <f>IF(Sales[[#This Row],[Delivery Days]]&lt;=$W$2, "Timely", "Delayed")</f>
        <v>Delayed</v>
      </c>
      <c r="U697" t="s">
        <v>2925</v>
      </c>
    </row>
    <row r="698" spans="1:21" x14ac:dyDescent="0.25">
      <c r="A698" s="4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 s="6">
        <v>2500.5329999999999</v>
      </c>
      <c r="K698" t="s">
        <v>45</v>
      </c>
      <c r="L698" t="s">
        <v>2941</v>
      </c>
      <c r="M698">
        <v>0</v>
      </c>
      <c r="N698" t="s">
        <v>747</v>
      </c>
      <c r="O698" t="s">
        <v>2219</v>
      </c>
      <c r="P698">
        <v>34.26</v>
      </c>
      <c r="Q698" s="1">
        <v>45782</v>
      </c>
      <c r="R698" s="1">
        <v>45791</v>
      </c>
      <c r="S698" s="14">
        <f>Sales[[#This Row],[DeliveryDate]]-Sales[[#This Row],[OrderDate]]</f>
        <v>9</v>
      </c>
      <c r="T698" s="14" t="str">
        <f>IF(Sales[[#This Row],[Delivery Days]]&lt;=$W$2, "Timely", "Delayed")</f>
        <v>Delayed</v>
      </c>
      <c r="U698" t="s">
        <v>2924</v>
      </c>
    </row>
    <row r="699" spans="1:21" x14ac:dyDescent="0.25">
      <c r="A699" s="4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 s="6">
        <v>2463.8850000000002</v>
      </c>
      <c r="K699" t="s">
        <v>46</v>
      </c>
      <c r="L699" t="s">
        <v>2941</v>
      </c>
      <c r="M699">
        <v>0</v>
      </c>
      <c r="N699" t="s">
        <v>748</v>
      </c>
      <c r="O699" t="s">
        <v>2220</v>
      </c>
      <c r="P699">
        <v>24.68</v>
      </c>
      <c r="Q699" s="1">
        <v>45033</v>
      </c>
      <c r="R699" s="1">
        <v>45037</v>
      </c>
      <c r="S699" s="14">
        <f>Sales[[#This Row],[DeliveryDate]]-Sales[[#This Row],[OrderDate]]</f>
        <v>4</v>
      </c>
      <c r="T699" s="14" t="str">
        <f>IF(Sales[[#This Row],[Delivery Days]]&lt;=$W$2, "Timely", "Delayed")</f>
        <v>Timely</v>
      </c>
      <c r="U699" t="s">
        <v>2925</v>
      </c>
    </row>
    <row r="700" spans="1:21" x14ac:dyDescent="0.25">
      <c r="A700" s="4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 s="6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1">
        <v>45459</v>
      </c>
      <c r="R700" s="1">
        <v>45464</v>
      </c>
      <c r="S700" s="14">
        <f>Sales[[#This Row],[DeliveryDate]]-Sales[[#This Row],[OrderDate]]</f>
        <v>5</v>
      </c>
      <c r="T700" s="14" t="str">
        <f>IF(Sales[[#This Row],[Delivery Days]]&lt;=$W$2, "Timely", "Delayed")</f>
        <v>Timely</v>
      </c>
      <c r="U700" t="s">
        <v>2923</v>
      </c>
    </row>
    <row r="701" spans="1:21" x14ac:dyDescent="0.25">
      <c r="A701" s="4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 s="6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1">
        <v>45597</v>
      </c>
      <c r="R701" s="1">
        <v>45600</v>
      </c>
      <c r="S701" s="14">
        <f>Sales[[#This Row],[DeliveryDate]]-Sales[[#This Row],[OrderDate]]</f>
        <v>3</v>
      </c>
      <c r="T701" s="14" t="str">
        <f>IF(Sales[[#This Row],[Delivery Days]]&lt;=$W$2, "Timely", "Delayed")</f>
        <v>Timely</v>
      </c>
      <c r="U701" t="s">
        <v>2923</v>
      </c>
    </row>
    <row r="702" spans="1:21" x14ac:dyDescent="0.25">
      <c r="A702" s="4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 s="6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1">
        <v>45695</v>
      </c>
      <c r="R702" s="1">
        <v>45698</v>
      </c>
      <c r="S702" s="14">
        <f>Sales[[#This Row],[DeliveryDate]]-Sales[[#This Row],[OrderDate]]</f>
        <v>3</v>
      </c>
      <c r="T702" s="14" t="str">
        <f>IF(Sales[[#This Row],[Delivery Days]]&lt;=$W$2, "Timely", "Delayed")</f>
        <v>Timely</v>
      </c>
      <c r="U702" t="s">
        <v>2922</v>
      </c>
    </row>
    <row r="703" spans="1:21" x14ac:dyDescent="0.25">
      <c r="A703" s="4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 s="6">
        <v>1772.6579999999999</v>
      </c>
      <c r="K703" t="s">
        <v>45</v>
      </c>
      <c r="L703" t="s">
        <v>2941</v>
      </c>
      <c r="M703">
        <v>0</v>
      </c>
      <c r="N703" t="s">
        <v>752</v>
      </c>
      <c r="O703" t="s">
        <v>2224</v>
      </c>
      <c r="P703">
        <v>21.23</v>
      </c>
      <c r="Q703" s="1">
        <v>45620</v>
      </c>
      <c r="R703" s="1">
        <v>45630</v>
      </c>
      <c r="S703" s="14">
        <f>Sales[[#This Row],[DeliveryDate]]-Sales[[#This Row],[OrderDate]]</f>
        <v>10</v>
      </c>
      <c r="T703" s="14" t="str">
        <f>IF(Sales[[#This Row],[Delivery Days]]&lt;=$W$2, "Timely", "Delayed")</f>
        <v>Delayed</v>
      </c>
      <c r="U703" t="s">
        <v>2923</v>
      </c>
    </row>
    <row r="704" spans="1:21" x14ac:dyDescent="0.25">
      <c r="A704" s="4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 s="6">
        <v>5716.75</v>
      </c>
      <c r="K704" t="s">
        <v>43</v>
      </c>
      <c r="L704" t="s">
        <v>2941</v>
      </c>
      <c r="M704">
        <v>1</v>
      </c>
      <c r="N704" t="s">
        <v>753</v>
      </c>
      <c r="O704" t="s">
        <v>1848</v>
      </c>
      <c r="P704">
        <v>12.23</v>
      </c>
      <c r="Q704" s="1">
        <v>45405</v>
      </c>
      <c r="R704" s="1">
        <v>45414</v>
      </c>
      <c r="S704" s="14">
        <f>Sales[[#This Row],[DeliveryDate]]-Sales[[#This Row],[OrderDate]]</f>
        <v>9</v>
      </c>
      <c r="T704" s="14" t="str">
        <f>IF(Sales[[#This Row],[Delivery Days]]&lt;=$W$2, "Timely", "Delayed")</f>
        <v>Delayed</v>
      </c>
      <c r="U704" t="s">
        <v>2925</v>
      </c>
    </row>
    <row r="705" spans="1:21" x14ac:dyDescent="0.25">
      <c r="A705" s="4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 s="6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1">
        <v>45467</v>
      </c>
      <c r="R705" s="1">
        <v>45470</v>
      </c>
      <c r="S705" s="14">
        <f>Sales[[#This Row],[DeliveryDate]]-Sales[[#This Row],[OrderDate]]</f>
        <v>3</v>
      </c>
      <c r="T705" s="14" t="str">
        <f>IF(Sales[[#This Row],[Delivery Days]]&lt;=$W$2, "Timely", "Delayed")</f>
        <v>Timely</v>
      </c>
      <c r="U705" t="s">
        <v>2922</v>
      </c>
    </row>
    <row r="706" spans="1:21" x14ac:dyDescent="0.25">
      <c r="A706" s="4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 s="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1">
        <v>45809</v>
      </c>
      <c r="R706" s="1">
        <v>45815</v>
      </c>
      <c r="S706" s="14">
        <f>Sales[[#This Row],[DeliveryDate]]-Sales[[#This Row],[OrderDate]]</f>
        <v>6</v>
      </c>
      <c r="T706" s="14" t="str">
        <f>IF(Sales[[#This Row],[Delivery Days]]&lt;=$W$2, "Timely", "Delayed")</f>
        <v>Timely</v>
      </c>
      <c r="U706" t="s">
        <v>2926</v>
      </c>
    </row>
    <row r="707" spans="1:21" x14ac:dyDescent="0.25">
      <c r="A707" s="4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 s="6">
        <v>532.20000000000005</v>
      </c>
      <c r="K707" t="s">
        <v>44</v>
      </c>
      <c r="L707" t="s">
        <v>2941</v>
      </c>
      <c r="M707">
        <v>0</v>
      </c>
      <c r="N707" t="s">
        <v>756</v>
      </c>
      <c r="O707" t="s">
        <v>2227</v>
      </c>
      <c r="P707">
        <v>16.98</v>
      </c>
      <c r="Q707" s="1">
        <v>44997</v>
      </c>
      <c r="R707" s="1">
        <v>44999</v>
      </c>
      <c r="S707" s="14">
        <f>Sales[[#This Row],[DeliveryDate]]-Sales[[#This Row],[OrderDate]]</f>
        <v>2</v>
      </c>
      <c r="T707" s="14" t="str">
        <f>IF(Sales[[#This Row],[Delivery Days]]&lt;=$W$2, "Timely", "Delayed")</f>
        <v>Timely</v>
      </c>
      <c r="U707" t="s">
        <v>2926</v>
      </c>
    </row>
    <row r="708" spans="1:21" x14ac:dyDescent="0.25">
      <c r="A708" s="4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 s="6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1">
        <v>45607</v>
      </c>
      <c r="R708" s="1">
        <v>45615</v>
      </c>
      <c r="S708" s="14">
        <f>Sales[[#This Row],[DeliveryDate]]-Sales[[#This Row],[OrderDate]]</f>
        <v>8</v>
      </c>
      <c r="T708" s="14" t="str">
        <f>IF(Sales[[#This Row],[Delivery Days]]&lt;=$W$2, "Timely", "Delayed")</f>
        <v>Delayed</v>
      </c>
      <c r="U708" t="s">
        <v>2925</v>
      </c>
    </row>
    <row r="709" spans="1:21" x14ac:dyDescent="0.25">
      <c r="A709" s="4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 s="6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1">
        <v>45582</v>
      </c>
      <c r="R709" s="1">
        <v>45591</v>
      </c>
      <c r="S709" s="14">
        <f>Sales[[#This Row],[DeliveryDate]]-Sales[[#This Row],[OrderDate]]</f>
        <v>9</v>
      </c>
      <c r="T709" s="14" t="str">
        <f>IF(Sales[[#This Row],[Delivery Days]]&lt;=$W$2, "Timely", "Delayed")</f>
        <v>Delayed</v>
      </c>
      <c r="U709" t="s">
        <v>2925</v>
      </c>
    </row>
    <row r="710" spans="1:21" x14ac:dyDescent="0.25">
      <c r="A710" s="4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 s="6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1">
        <v>45056</v>
      </c>
      <c r="R710" s="1">
        <v>45059</v>
      </c>
      <c r="S710" s="14">
        <f>Sales[[#This Row],[DeliveryDate]]-Sales[[#This Row],[OrderDate]]</f>
        <v>3</v>
      </c>
      <c r="T710" s="14" t="str">
        <f>IF(Sales[[#This Row],[Delivery Days]]&lt;=$W$2, "Timely", "Delayed")</f>
        <v>Timely</v>
      </c>
      <c r="U710" t="s">
        <v>2922</v>
      </c>
    </row>
    <row r="711" spans="1:21" x14ac:dyDescent="0.25">
      <c r="A711" s="4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 s="6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1">
        <v>45136</v>
      </c>
      <c r="R711" s="1">
        <v>45145</v>
      </c>
      <c r="S711" s="14">
        <f>Sales[[#This Row],[DeliveryDate]]-Sales[[#This Row],[OrderDate]]</f>
        <v>9</v>
      </c>
      <c r="T711" s="14" t="str">
        <f>IF(Sales[[#This Row],[Delivery Days]]&lt;=$W$2, "Timely", "Delayed")</f>
        <v>Delayed</v>
      </c>
      <c r="U711" t="s">
        <v>2922</v>
      </c>
    </row>
    <row r="712" spans="1:21" x14ac:dyDescent="0.25">
      <c r="A712" s="4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 s="6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1">
        <v>45164</v>
      </c>
      <c r="R712" s="1">
        <v>45167</v>
      </c>
      <c r="S712" s="14">
        <f>Sales[[#This Row],[DeliveryDate]]-Sales[[#This Row],[OrderDate]]</f>
        <v>3</v>
      </c>
      <c r="T712" s="14" t="str">
        <f>IF(Sales[[#This Row],[Delivery Days]]&lt;=$W$2, "Timely", "Delayed")</f>
        <v>Timely</v>
      </c>
      <c r="U712" t="s">
        <v>2925</v>
      </c>
    </row>
    <row r="713" spans="1:21" x14ac:dyDescent="0.25">
      <c r="A713" s="4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 s="6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1">
        <v>45288</v>
      </c>
      <c r="R713" s="1">
        <v>45294</v>
      </c>
      <c r="S713" s="14">
        <f>Sales[[#This Row],[DeliveryDate]]-Sales[[#This Row],[OrderDate]]</f>
        <v>6</v>
      </c>
      <c r="T713" s="14" t="str">
        <f>IF(Sales[[#This Row],[Delivery Days]]&lt;=$W$2, "Timely", "Delayed")</f>
        <v>Timely</v>
      </c>
      <c r="U713" t="s">
        <v>2922</v>
      </c>
    </row>
    <row r="714" spans="1:21" x14ac:dyDescent="0.25">
      <c r="A714" s="4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 s="6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1">
        <v>45726</v>
      </c>
      <c r="R714" s="1">
        <v>45733</v>
      </c>
      <c r="S714" s="14">
        <f>Sales[[#This Row],[DeliveryDate]]-Sales[[#This Row],[OrderDate]]</f>
        <v>7</v>
      </c>
      <c r="T714" s="14" t="str">
        <f>IF(Sales[[#This Row],[Delivery Days]]&lt;=$W$2, "Timely", "Delayed")</f>
        <v>Delayed</v>
      </c>
      <c r="U714" t="s">
        <v>2924</v>
      </c>
    </row>
    <row r="715" spans="1:21" x14ac:dyDescent="0.25">
      <c r="A715" s="4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 s="6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1">
        <v>45178</v>
      </c>
      <c r="R715" s="1">
        <v>45183</v>
      </c>
      <c r="S715" s="14">
        <f>Sales[[#This Row],[DeliveryDate]]-Sales[[#This Row],[OrderDate]]</f>
        <v>5</v>
      </c>
      <c r="T715" s="14" t="str">
        <f>IF(Sales[[#This Row],[Delivery Days]]&lt;=$W$2, "Timely", "Delayed")</f>
        <v>Timely</v>
      </c>
      <c r="U715" t="s">
        <v>2925</v>
      </c>
    </row>
    <row r="716" spans="1:21" x14ac:dyDescent="0.25">
      <c r="A716" s="4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 s="6">
        <v>529.68600000000004</v>
      </c>
      <c r="K716" t="s">
        <v>44</v>
      </c>
      <c r="L716" t="s">
        <v>2941</v>
      </c>
      <c r="M716">
        <v>0</v>
      </c>
      <c r="N716" t="s">
        <v>765</v>
      </c>
      <c r="O716" t="s">
        <v>2236</v>
      </c>
      <c r="P716">
        <v>9.0500000000000007</v>
      </c>
      <c r="Q716" s="1">
        <v>45074</v>
      </c>
      <c r="R716" s="1">
        <v>45078</v>
      </c>
      <c r="S716" s="14">
        <f>Sales[[#This Row],[DeliveryDate]]-Sales[[#This Row],[OrderDate]]</f>
        <v>4</v>
      </c>
      <c r="T716" s="14" t="str">
        <f>IF(Sales[[#This Row],[Delivery Days]]&lt;=$W$2, "Timely", "Delayed")</f>
        <v>Timely</v>
      </c>
      <c r="U716" t="s">
        <v>2924</v>
      </c>
    </row>
    <row r="717" spans="1:21" x14ac:dyDescent="0.25">
      <c r="A717" s="4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 s="6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1">
        <v>45798</v>
      </c>
      <c r="R717" s="1">
        <v>45808</v>
      </c>
      <c r="S717" s="14">
        <f>Sales[[#This Row],[DeliveryDate]]-Sales[[#This Row],[OrderDate]]</f>
        <v>10</v>
      </c>
      <c r="T717" s="14" t="str">
        <f>IF(Sales[[#This Row],[Delivery Days]]&lt;=$W$2, "Timely", "Delayed")</f>
        <v>Delayed</v>
      </c>
      <c r="U717" t="s">
        <v>2926</v>
      </c>
    </row>
    <row r="718" spans="1:21" x14ac:dyDescent="0.25">
      <c r="A718" s="4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 s="6">
        <v>3244.6680000000001</v>
      </c>
      <c r="K718" t="s">
        <v>43</v>
      </c>
      <c r="L718" t="s">
        <v>2941</v>
      </c>
      <c r="M718">
        <v>1</v>
      </c>
      <c r="N718" t="s">
        <v>767</v>
      </c>
      <c r="O718" t="s">
        <v>2238</v>
      </c>
      <c r="P718">
        <v>13.24</v>
      </c>
      <c r="Q718" s="1">
        <v>45199</v>
      </c>
      <c r="R718" s="1">
        <v>45203</v>
      </c>
      <c r="S718" s="14">
        <f>Sales[[#This Row],[DeliveryDate]]-Sales[[#This Row],[OrderDate]]</f>
        <v>4</v>
      </c>
      <c r="T718" s="14" t="str">
        <f>IF(Sales[[#This Row],[Delivery Days]]&lt;=$W$2, "Timely", "Delayed")</f>
        <v>Timely</v>
      </c>
      <c r="U718" t="s">
        <v>2922</v>
      </c>
    </row>
    <row r="719" spans="1:21" x14ac:dyDescent="0.25">
      <c r="A719" s="4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 s="6">
        <v>261.79199999999997</v>
      </c>
      <c r="K719" t="s">
        <v>43</v>
      </c>
      <c r="L719" t="s">
        <v>2941</v>
      </c>
      <c r="M719">
        <v>0</v>
      </c>
      <c r="N719" t="s">
        <v>768</v>
      </c>
      <c r="O719" t="s">
        <v>2239</v>
      </c>
      <c r="P719">
        <v>6.11</v>
      </c>
      <c r="Q719" s="1">
        <v>45573</v>
      </c>
      <c r="R719" s="1">
        <v>45578</v>
      </c>
      <c r="S719" s="14">
        <f>Sales[[#This Row],[DeliveryDate]]-Sales[[#This Row],[OrderDate]]</f>
        <v>5</v>
      </c>
      <c r="T719" s="14" t="str">
        <f>IF(Sales[[#This Row],[Delivery Days]]&lt;=$W$2, "Timely", "Delayed")</f>
        <v>Timely</v>
      </c>
      <c r="U719" t="s">
        <v>2923</v>
      </c>
    </row>
    <row r="720" spans="1:21" x14ac:dyDescent="0.25">
      <c r="A720" s="4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 s="6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1">
        <v>45030</v>
      </c>
      <c r="R720" s="1">
        <v>45039</v>
      </c>
      <c r="S720" s="14">
        <f>Sales[[#This Row],[DeliveryDate]]-Sales[[#This Row],[OrderDate]]</f>
        <v>9</v>
      </c>
      <c r="T720" s="14" t="str">
        <f>IF(Sales[[#This Row],[Delivery Days]]&lt;=$W$2, "Timely", "Delayed")</f>
        <v>Delayed</v>
      </c>
      <c r="U720" t="s">
        <v>2922</v>
      </c>
    </row>
    <row r="721" spans="1:21" x14ac:dyDescent="0.25">
      <c r="A721" s="4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 s="6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1">
        <v>44990</v>
      </c>
      <c r="R721" s="1">
        <v>44995</v>
      </c>
      <c r="S721" s="14">
        <f>Sales[[#This Row],[DeliveryDate]]-Sales[[#This Row],[OrderDate]]</f>
        <v>5</v>
      </c>
      <c r="T721" s="14" t="str">
        <f>IF(Sales[[#This Row],[Delivery Days]]&lt;=$W$2, "Timely", "Delayed")</f>
        <v>Timely</v>
      </c>
      <c r="U721" t="s">
        <v>2923</v>
      </c>
    </row>
    <row r="722" spans="1:21" x14ac:dyDescent="0.25">
      <c r="A722" s="4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 s="6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1">
        <v>45490</v>
      </c>
      <c r="R722" s="1">
        <v>45493</v>
      </c>
      <c r="S722" s="14">
        <f>Sales[[#This Row],[DeliveryDate]]-Sales[[#This Row],[OrderDate]]</f>
        <v>3</v>
      </c>
      <c r="T722" s="14" t="str">
        <f>IF(Sales[[#This Row],[Delivery Days]]&lt;=$W$2, "Timely", "Delayed")</f>
        <v>Timely</v>
      </c>
      <c r="U722" t="s">
        <v>2924</v>
      </c>
    </row>
    <row r="723" spans="1:21" x14ac:dyDescent="0.25">
      <c r="A723" s="4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 s="6">
        <v>6158.5920000000006</v>
      </c>
      <c r="K723" t="s">
        <v>46</v>
      </c>
      <c r="L723" t="s">
        <v>2941</v>
      </c>
      <c r="M723">
        <v>0</v>
      </c>
      <c r="N723" t="s">
        <v>772</v>
      </c>
      <c r="O723" t="s">
        <v>2243</v>
      </c>
      <c r="P723">
        <v>18.72</v>
      </c>
      <c r="Q723" s="1">
        <v>45432</v>
      </c>
      <c r="R723" s="1">
        <v>45441</v>
      </c>
      <c r="S723" s="14">
        <f>Sales[[#This Row],[DeliveryDate]]-Sales[[#This Row],[OrderDate]]</f>
        <v>9</v>
      </c>
      <c r="T723" s="14" t="str">
        <f>IF(Sales[[#This Row],[Delivery Days]]&lt;=$W$2, "Timely", "Delayed")</f>
        <v>Delayed</v>
      </c>
      <c r="U723" t="s">
        <v>2924</v>
      </c>
    </row>
    <row r="724" spans="1:21" x14ac:dyDescent="0.25">
      <c r="A724" s="4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 s="6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1">
        <v>45783</v>
      </c>
      <c r="R724" s="1">
        <v>45787</v>
      </c>
      <c r="S724" s="14">
        <f>Sales[[#This Row],[DeliveryDate]]-Sales[[#This Row],[OrderDate]]</f>
        <v>4</v>
      </c>
      <c r="T724" s="14" t="str">
        <f>IF(Sales[[#This Row],[Delivery Days]]&lt;=$W$2, "Timely", "Delayed")</f>
        <v>Timely</v>
      </c>
      <c r="U724" t="s">
        <v>2924</v>
      </c>
    </row>
    <row r="725" spans="1:21" x14ac:dyDescent="0.25">
      <c r="A725" s="4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 s="6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1">
        <v>44941</v>
      </c>
      <c r="R725" s="1">
        <v>44943</v>
      </c>
      <c r="S725" s="14">
        <f>Sales[[#This Row],[DeliveryDate]]-Sales[[#This Row],[OrderDate]]</f>
        <v>2</v>
      </c>
      <c r="T725" s="14" t="str">
        <f>IF(Sales[[#This Row],[Delivery Days]]&lt;=$W$2, "Timely", "Delayed")</f>
        <v>Timely</v>
      </c>
      <c r="U725" t="s">
        <v>2924</v>
      </c>
    </row>
    <row r="726" spans="1:21" x14ac:dyDescent="0.25">
      <c r="A726" s="4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 s="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1">
        <v>45300</v>
      </c>
      <c r="R726" s="1">
        <v>45303</v>
      </c>
      <c r="S726" s="14">
        <f>Sales[[#This Row],[DeliveryDate]]-Sales[[#This Row],[OrderDate]]</f>
        <v>3</v>
      </c>
      <c r="T726" s="14" t="str">
        <f>IF(Sales[[#This Row],[Delivery Days]]&lt;=$W$2, "Timely", "Delayed")</f>
        <v>Timely</v>
      </c>
      <c r="U726" t="s">
        <v>2925</v>
      </c>
    </row>
    <row r="727" spans="1:21" x14ac:dyDescent="0.25">
      <c r="A727" s="4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 s="6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1">
        <v>45119</v>
      </c>
      <c r="R727" s="1">
        <v>45128</v>
      </c>
      <c r="S727" s="14">
        <f>Sales[[#This Row],[DeliveryDate]]-Sales[[#This Row],[OrderDate]]</f>
        <v>9</v>
      </c>
      <c r="T727" s="14" t="str">
        <f>IF(Sales[[#This Row],[Delivery Days]]&lt;=$W$2, "Timely", "Delayed")</f>
        <v>Delayed</v>
      </c>
      <c r="U727" t="s">
        <v>2923</v>
      </c>
    </row>
    <row r="728" spans="1:21" x14ac:dyDescent="0.25">
      <c r="A728" s="4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 s="6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1">
        <v>45829</v>
      </c>
      <c r="R728" s="1">
        <v>45834</v>
      </c>
      <c r="S728" s="14">
        <f>Sales[[#This Row],[DeliveryDate]]-Sales[[#This Row],[OrderDate]]</f>
        <v>5</v>
      </c>
      <c r="T728" s="14" t="str">
        <f>IF(Sales[[#This Row],[Delivery Days]]&lt;=$W$2, "Timely", "Delayed")</f>
        <v>Timely</v>
      </c>
      <c r="U728" t="s">
        <v>2922</v>
      </c>
    </row>
    <row r="729" spans="1:21" x14ac:dyDescent="0.25">
      <c r="A729" s="4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 s="6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1">
        <v>45655</v>
      </c>
      <c r="R729" s="1">
        <v>45659</v>
      </c>
      <c r="S729" s="14">
        <f>Sales[[#This Row],[DeliveryDate]]-Sales[[#This Row],[OrderDate]]</f>
        <v>4</v>
      </c>
      <c r="T729" s="14" t="str">
        <f>IF(Sales[[#This Row],[Delivery Days]]&lt;=$W$2, "Timely", "Delayed")</f>
        <v>Timely</v>
      </c>
      <c r="U729" t="s">
        <v>2924</v>
      </c>
    </row>
    <row r="730" spans="1:21" x14ac:dyDescent="0.25">
      <c r="A730" s="4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 s="6">
        <v>3746.7809999999999</v>
      </c>
      <c r="K730" t="s">
        <v>47</v>
      </c>
      <c r="L730" t="s">
        <v>2941</v>
      </c>
      <c r="M730">
        <v>0</v>
      </c>
      <c r="N730" t="s">
        <v>779</v>
      </c>
      <c r="O730" t="s">
        <v>2250</v>
      </c>
      <c r="P730">
        <v>22.73</v>
      </c>
      <c r="Q730" s="1">
        <v>45069</v>
      </c>
      <c r="R730" s="1">
        <v>45075</v>
      </c>
      <c r="S730" s="14">
        <f>Sales[[#This Row],[DeliveryDate]]-Sales[[#This Row],[OrderDate]]</f>
        <v>6</v>
      </c>
      <c r="T730" s="14" t="str">
        <f>IF(Sales[[#This Row],[Delivery Days]]&lt;=$W$2, "Timely", "Delayed")</f>
        <v>Timely</v>
      </c>
      <c r="U730" t="s">
        <v>2926</v>
      </c>
    </row>
    <row r="731" spans="1:21" x14ac:dyDescent="0.25">
      <c r="A731" s="4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 s="6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1">
        <v>45385</v>
      </c>
      <c r="R731" s="1">
        <v>45391</v>
      </c>
      <c r="S731" s="14">
        <f>Sales[[#This Row],[DeliveryDate]]-Sales[[#This Row],[OrderDate]]</f>
        <v>6</v>
      </c>
      <c r="T731" s="14" t="str">
        <f>IF(Sales[[#This Row],[Delivery Days]]&lt;=$W$2, "Timely", "Delayed")</f>
        <v>Timely</v>
      </c>
      <c r="U731" t="s">
        <v>2925</v>
      </c>
    </row>
    <row r="732" spans="1:21" x14ac:dyDescent="0.25">
      <c r="A732" s="4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 s="6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1">
        <v>45308</v>
      </c>
      <c r="R732" s="1">
        <v>45318</v>
      </c>
      <c r="S732" s="14">
        <f>Sales[[#This Row],[DeliveryDate]]-Sales[[#This Row],[OrderDate]]</f>
        <v>10</v>
      </c>
      <c r="T732" s="14" t="str">
        <f>IF(Sales[[#This Row],[Delivery Days]]&lt;=$W$2, "Timely", "Delayed")</f>
        <v>Delayed</v>
      </c>
      <c r="U732" t="s">
        <v>2922</v>
      </c>
    </row>
    <row r="733" spans="1:21" x14ac:dyDescent="0.25">
      <c r="A733" s="4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 s="6">
        <v>417.52800000000002</v>
      </c>
      <c r="K733" t="s">
        <v>46</v>
      </c>
      <c r="L733" t="s">
        <v>2941</v>
      </c>
      <c r="M733">
        <v>1</v>
      </c>
      <c r="N733" t="s">
        <v>782</v>
      </c>
      <c r="O733" t="s">
        <v>2253</v>
      </c>
      <c r="P733">
        <v>32.659999999999997</v>
      </c>
      <c r="Q733" s="1">
        <v>45752</v>
      </c>
      <c r="R733" s="1">
        <v>45761</v>
      </c>
      <c r="S733" s="14">
        <f>Sales[[#This Row],[DeliveryDate]]-Sales[[#This Row],[OrderDate]]</f>
        <v>9</v>
      </c>
      <c r="T733" s="14" t="str">
        <f>IF(Sales[[#This Row],[Delivery Days]]&lt;=$W$2, "Timely", "Delayed")</f>
        <v>Delayed</v>
      </c>
      <c r="U733" t="s">
        <v>2925</v>
      </c>
    </row>
    <row r="734" spans="1:21" x14ac:dyDescent="0.25">
      <c r="A734" s="4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 s="6">
        <v>3086.392499999999</v>
      </c>
      <c r="K734" t="s">
        <v>45</v>
      </c>
      <c r="L734" t="s">
        <v>2941</v>
      </c>
      <c r="M734">
        <v>0</v>
      </c>
      <c r="N734" t="s">
        <v>783</v>
      </c>
      <c r="O734" t="s">
        <v>2254</v>
      </c>
      <c r="P734">
        <v>19.18</v>
      </c>
      <c r="Q734" s="1">
        <v>45764</v>
      </c>
      <c r="R734" s="1">
        <v>45770</v>
      </c>
      <c r="S734" s="14">
        <f>Sales[[#This Row],[DeliveryDate]]-Sales[[#This Row],[OrderDate]]</f>
        <v>6</v>
      </c>
      <c r="T734" s="14" t="str">
        <f>IF(Sales[[#This Row],[Delivery Days]]&lt;=$W$2, "Timely", "Delayed")</f>
        <v>Timely</v>
      </c>
      <c r="U734" t="s">
        <v>2925</v>
      </c>
    </row>
    <row r="735" spans="1:21" x14ac:dyDescent="0.25">
      <c r="A735" s="4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 s="6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1">
        <v>45577</v>
      </c>
      <c r="R735" s="1">
        <v>45580</v>
      </c>
      <c r="S735" s="14">
        <f>Sales[[#This Row],[DeliveryDate]]-Sales[[#This Row],[OrderDate]]</f>
        <v>3</v>
      </c>
      <c r="T735" s="14" t="str">
        <f>IF(Sales[[#This Row],[Delivery Days]]&lt;=$W$2, "Timely", "Delayed")</f>
        <v>Timely</v>
      </c>
      <c r="U735" t="s">
        <v>2925</v>
      </c>
    </row>
    <row r="736" spans="1:21" x14ac:dyDescent="0.25">
      <c r="A736" s="4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 s="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1">
        <v>45500</v>
      </c>
      <c r="R736" s="1">
        <v>45505</v>
      </c>
      <c r="S736" s="14">
        <f>Sales[[#This Row],[DeliveryDate]]-Sales[[#This Row],[OrderDate]]</f>
        <v>5</v>
      </c>
      <c r="T736" s="14" t="str">
        <f>IF(Sales[[#This Row],[Delivery Days]]&lt;=$W$2, "Timely", "Delayed")</f>
        <v>Timely</v>
      </c>
      <c r="U736" t="s">
        <v>2925</v>
      </c>
    </row>
    <row r="737" spans="1:21" x14ac:dyDescent="0.25">
      <c r="A737" s="4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 s="6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1">
        <v>45667</v>
      </c>
      <c r="R737" s="1">
        <v>45675</v>
      </c>
      <c r="S737" s="14">
        <f>Sales[[#This Row],[DeliveryDate]]-Sales[[#This Row],[OrderDate]]</f>
        <v>8</v>
      </c>
      <c r="T737" s="14" t="str">
        <f>IF(Sales[[#This Row],[Delivery Days]]&lt;=$W$2, "Timely", "Delayed")</f>
        <v>Delayed</v>
      </c>
      <c r="U737" t="s">
        <v>2926</v>
      </c>
    </row>
    <row r="738" spans="1:21" x14ac:dyDescent="0.25">
      <c r="A738" s="4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 s="6">
        <v>705.09</v>
      </c>
      <c r="K738" t="s">
        <v>45</v>
      </c>
      <c r="L738" t="s">
        <v>2941</v>
      </c>
      <c r="M738">
        <v>1</v>
      </c>
      <c r="N738" t="s">
        <v>787</v>
      </c>
      <c r="O738" t="s">
        <v>2258</v>
      </c>
      <c r="P738">
        <v>24.34</v>
      </c>
      <c r="Q738" s="1">
        <v>45498</v>
      </c>
      <c r="R738" s="1">
        <v>45504</v>
      </c>
      <c r="S738" s="14">
        <f>Sales[[#This Row],[DeliveryDate]]-Sales[[#This Row],[OrderDate]]</f>
        <v>6</v>
      </c>
      <c r="T738" s="14" t="str">
        <f>IF(Sales[[#This Row],[Delivery Days]]&lt;=$W$2, "Timely", "Delayed")</f>
        <v>Timely</v>
      </c>
      <c r="U738" t="s">
        <v>2923</v>
      </c>
    </row>
    <row r="739" spans="1:21" x14ac:dyDescent="0.25">
      <c r="A739" s="4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 s="6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1">
        <v>45434</v>
      </c>
      <c r="R739" s="1">
        <v>45437</v>
      </c>
      <c r="S739" s="14">
        <f>Sales[[#This Row],[DeliveryDate]]-Sales[[#This Row],[OrderDate]]</f>
        <v>3</v>
      </c>
      <c r="T739" s="14" t="str">
        <f>IF(Sales[[#This Row],[Delivery Days]]&lt;=$W$2, "Timely", "Delayed")</f>
        <v>Timely</v>
      </c>
      <c r="U739" t="s">
        <v>2926</v>
      </c>
    </row>
    <row r="740" spans="1:21" x14ac:dyDescent="0.25">
      <c r="A740" s="4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 s="6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1">
        <v>45514</v>
      </c>
      <c r="R740" s="1">
        <v>45524</v>
      </c>
      <c r="S740" s="14">
        <f>Sales[[#This Row],[DeliveryDate]]-Sales[[#This Row],[OrderDate]]</f>
        <v>10</v>
      </c>
      <c r="T740" s="14" t="str">
        <f>IF(Sales[[#This Row],[Delivery Days]]&lt;=$W$2, "Timely", "Delayed")</f>
        <v>Delayed</v>
      </c>
      <c r="U740" t="s">
        <v>2925</v>
      </c>
    </row>
    <row r="741" spans="1:21" x14ac:dyDescent="0.25">
      <c r="A741" s="4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 s="6">
        <v>203.90799999999999</v>
      </c>
      <c r="K741" t="s">
        <v>45</v>
      </c>
      <c r="L741" t="s">
        <v>2941</v>
      </c>
      <c r="M741">
        <v>0</v>
      </c>
      <c r="N741" t="s">
        <v>790</v>
      </c>
      <c r="O741" t="s">
        <v>2261</v>
      </c>
      <c r="P741">
        <v>47.33</v>
      </c>
      <c r="Q741" s="1">
        <v>45043</v>
      </c>
      <c r="R741" s="1">
        <v>45045</v>
      </c>
      <c r="S741" s="14">
        <f>Sales[[#This Row],[DeliveryDate]]-Sales[[#This Row],[OrderDate]]</f>
        <v>2</v>
      </c>
      <c r="T741" s="14" t="str">
        <f>IF(Sales[[#This Row],[Delivery Days]]&lt;=$W$2, "Timely", "Delayed")</f>
        <v>Timely</v>
      </c>
      <c r="U741" t="s">
        <v>2926</v>
      </c>
    </row>
    <row r="742" spans="1:21" x14ac:dyDescent="0.25">
      <c r="A742" s="4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 s="6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1">
        <v>45098</v>
      </c>
      <c r="R742" s="1">
        <v>45102</v>
      </c>
      <c r="S742" s="14">
        <f>Sales[[#This Row],[DeliveryDate]]-Sales[[#This Row],[OrderDate]]</f>
        <v>4</v>
      </c>
      <c r="T742" s="14" t="str">
        <f>IF(Sales[[#This Row],[Delivery Days]]&lt;=$W$2, "Timely", "Delayed")</f>
        <v>Timely</v>
      </c>
      <c r="U742" t="s">
        <v>2923</v>
      </c>
    </row>
    <row r="743" spans="1:21" x14ac:dyDescent="0.25">
      <c r="A743" s="4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 s="6">
        <v>8878.9470000000001</v>
      </c>
      <c r="K743" t="s">
        <v>45</v>
      </c>
      <c r="L743" t="s">
        <v>2941</v>
      </c>
      <c r="M743">
        <v>1</v>
      </c>
      <c r="N743" t="s">
        <v>792</v>
      </c>
      <c r="O743" t="s">
        <v>2262</v>
      </c>
      <c r="P743">
        <v>44.42</v>
      </c>
      <c r="Q743" s="1">
        <v>45576</v>
      </c>
      <c r="R743" s="1">
        <v>45579</v>
      </c>
      <c r="S743" s="14">
        <f>Sales[[#This Row],[DeliveryDate]]-Sales[[#This Row],[OrderDate]]</f>
        <v>3</v>
      </c>
      <c r="T743" s="14" t="str">
        <f>IF(Sales[[#This Row],[Delivery Days]]&lt;=$W$2, "Timely", "Delayed")</f>
        <v>Timely</v>
      </c>
      <c r="U743" t="s">
        <v>2926</v>
      </c>
    </row>
    <row r="744" spans="1:21" x14ac:dyDescent="0.25">
      <c r="A744" s="4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 s="6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1">
        <v>45683</v>
      </c>
      <c r="R744" s="1">
        <v>45687</v>
      </c>
      <c r="S744" s="14">
        <f>Sales[[#This Row],[DeliveryDate]]-Sales[[#This Row],[OrderDate]]</f>
        <v>4</v>
      </c>
      <c r="T744" s="14" t="str">
        <f>IF(Sales[[#This Row],[Delivery Days]]&lt;=$W$2, "Timely", "Delayed")</f>
        <v>Timely</v>
      </c>
      <c r="U744" t="s">
        <v>2924</v>
      </c>
    </row>
    <row r="745" spans="1:21" x14ac:dyDescent="0.25">
      <c r="A745" s="4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 s="6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1">
        <v>45461</v>
      </c>
      <c r="R745" s="1">
        <v>45469</v>
      </c>
      <c r="S745" s="14">
        <f>Sales[[#This Row],[DeliveryDate]]-Sales[[#This Row],[OrderDate]]</f>
        <v>8</v>
      </c>
      <c r="T745" s="14" t="str">
        <f>IF(Sales[[#This Row],[Delivery Days]]&lt;=$W$2, "Timely", "Delayed")</f>
        <v>Delayed</v>
      </c>
      <c r="U745" t="s">
        <v>2923</v>
      </c>
    </row>
    <row r="746" spans="1:21" x14ac:dyDescent="0.25">
      <c r="A746" s="4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 s="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1">
        <v>45826</v>
      </c>
      <c r="R746" s="1">
        <v>45832</v>
      </c>
      <c r="S746" s="14">
        <f>Sales[[#This Row],[DeliveryDate]]-Sales[[#This Row],[OrderDate]]</f>
        <v>6</v>
      </c>
      <c r="T746" s="14" t="str">
        <f>IF(Sales[[#This Row],[Delivery Days]]&lt;=$W$2, "Timely", "Delayed")</f>
        <v>Timely</v>
      </c>
      <c r="U746" t="s">
        <v>2922</v>
      </c>
    </row>
    <row r="747" spans="1:21" x14ac:dyDescent="0.25">
      <c r="A747" s="4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 s="6">
        <v>507.98399999999998</v>
      </c>
      <c r="K747" t="s">
        <v>43</v>
      </c>
      <c r="L747" t="s">
        <v>2941</v>
      </c>
      <c r="M747">
        <v>0</v>
      </c>
      <c r="N747" t="s">
        <v>796</v>
      </c>
      <c r="O747" t="s">
        <v>2266</v>
      </c>
      <c r="P747">
        <v>21.36</v>
      </c>
      <c r="Q747" s="1">
        <v>45594</v>
      </c>
      <c r="R747" s="1">
        <v>45603</v>
      </c>
      <c r="S747" s="14">
        <f>Sales[[#This Row],[DeliveryDate]]-Sales[[#This Row],[OrderDate]]</f>
        <v>9</v>
      </c>
      <c r="T747" s="14" t="str">
        <f>IF(Sales[[#This Row],[Delivery Days]]&lt;=$W$2, "Timely", "Delayed")</f>
        <v>Delayed</v>
      </c>
      <c r="U747" t="s">
        <v>2923</v>
      </c>
    </row>
    <row r="748" spans="1:21" x14ac:dyDescent="0.25">
      <c r="A748" s="4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 s="6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1">
        <v>45755</v>
      </c>
      <c r="R748" s="1">
        <v>45761</v>
      </c>
      <c r="S748" s="14">
        <f>Sales[[#This Row],[DeliveryDate]]-Sales[[#This Row],[OrderDate]]</f>
        <v>6</v>
      </c>
      <c r="T748" s="14" t="str">
        <f>IF(Sales[[#This Row],[Delivery Days]]&lt;=$W$2, "Timely", "Delayed")</f>
        <v>Timely</v>
      </c>
      <c r="U748" t="s">
        <v>2925</v>
      </c>
    </row>
    <row r="749" spans="1:21" x14ac:dyDescent="0.25">
      <c r="A749" s="4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 s="6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1">
        <v>44957</v>
      </c>
      <c r="R749" s="1">
        <v>44962</v>
      </c>
      <c r="S749" s="14">
        <f>Sales[[#This Row],[DeliveryDate]]-Sales[[#This Row],[OrderDate]]</f>
        <v>5</v>
      </c>
      <c r="T749" s="14" t="str">
        <f>IF(Sales[[#This Row],[Delivery Days]]&lt;=$W$2, "Timely", "Delayed")</f>
        <v>Timely</v>
      </c>
      <c r="U749" t="s">
        <v>2925</v>
      </c>
    </row>
    <row r="750" spans="1:21" x14ac:dyDescent="0.25">
      <c r="A750" s="4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 s="6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1">
        <v>45366</v>
      </c>
      <c r="R750" s="1">
        <v>45371</v>
      </c>
      <c r="S750" s="14">
        <f>Sales[[#This Row],[DeliveryDate]]-Sales[[#This Row],[OrderDate]]</f>
        <v>5</v>
      </c>
      <c r="T750" s="14" t="str">
        <f>IF(Sales[[#This Row],[Delivery Days]]&lt;=$W$2, "Timely", "Delayed")</f>
        <v>Timely</v>
      </c>
      <c r="U750" t="s">
        <v>2926</v>
      </c>
    </row>
    <row r="751" spans="1:21" x14ac:dyDescent="0.25">
      <c r="A751" s="4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 s="6">
        <v>4482.1759999999986</v>
      </c>
      <c r="K751" t="s">
        <v>47</v>
      </c>
      <c r="L751" t="s">
        <v>2941</v>
      </c>
      <c r="M751">
        <v>1</v>
      </c>
      <c r="N751" t="s">
        <v>800</v>
      </c>
      <c r="O751" t="s">
        <v>2089</v>
      </c>
      <c r="P751">
        <v>17.190000000000001</v>
      </c>
      <c r="Q751" s="1">
        <v>45100</v>
      </c>
      <c r="R751" s="1">
        <v>45104</v>
      </c>
      <c r="S751" s="14">
        <f>Sales[[#This Row],[DeliveryDate]]-Sales[[#This Row],[OrderDate]]</f>
        <v>4</v>
      </c>
      <c r="T751" s="14" t="str">
        <f>IF(Sales[[#This Row],[Delivery Days]]&lt;=$W$2, "Timely", "Delayed")</f>
        <v>Timely</v>
      </c>
      <c r="U751" t="s">
        <v>2924</v>
      </c>
    </row>
    <row r="752" spans="1:21" x14ac:dyDescent="0.25">
      <c r="A752" s="4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 s="6">
        <v>9625.8845000000001</v>
      </c>
      <c r="K752" t="s">
        <v>46</v>
      </c>
      <c r="L752" t="s">
        <v>2941</v>
      </c>
      <c r="M752">
        <v>0</v>
      </c>
      <c r="N752" t="s">
        <v>801</v>
      </c>
      <c r="O752" t="s">
        <v>2270</v>
      </c>
      <c r="P752">
        <v>31.95</v>
      </c>
      <c r="Q752" s="1">
        <v>45457</v>
      </c>
      <c r="R752" s="1">
        <v>45466</v>
      </c>
      <c r="S752" s="14">
        <f>Sales[[#This Row],[DeliveryDate]]-Sales[[#This Row],[OrderDate]]</f>
        <v>9</v>
      </c>
      <c r="T752" s="14" t="str">
        <f>IF(Sales[[#This Row],[Delivery Days]]&lt;=$W$2, "Timely", "Delayed")</f>
        <v>Delayed</v>
      </c>
      <c r="U752" t="s">
        <v>2924</v>
      </c>
    </row>
    <row r="753" spans="1:21" x14ac:dyDescent="0.25">
      <c r="A753" s="4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 s="6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1">
        <v>45260</v>
      </c>
      <c r="R753" s="1">
        <v>45269</v>
      </c>
      <c r="S753" s="14">
        <f>Sales[[#This Row],[DeliveryDate]]-Sales[[#This Row],[OrderDate]]</f>
        <v>9</v>
      </c>
      <c r="T753" s="14" t="str">
        <f>IF(Sales[[#This Row],[Delivery Days]]&lt;=$W$2, "Timely", "Delayed")</f>
        <v>Delayed</v>
      </c>
      <c r="U753" t="s">
        <v>2926</v>
      </c>
    </row>
    <row r="754" spans="1:21" x14ac:dyDescent="0.25">
      <c r="A754" s="4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 s="6">
        <v>3809.0250000000001</v>
      </c>
      <c r="K754" t="s">
        <v>43</v>
      </c>
      <c r="L754" t="s">
        <v>2941</v>
      </c>
      <c r="M754">
        <v>0</v>
      </c>
      <c r="N754" t="s">
        <v>803</v>
      </c>
      <c r="O754" t="s">
        <v>2272</v>
      </c>
      <c r="P754">
        <v>17.46</v>
      </c>
      <c r="Q754" s="1">
        <v>45403</v>
      </c>
      <c r="R754" s="1">
        <v>45412</v>
      </c>
      <c r="S754" s="14">
        <f>Sales[[#This Row],[DeliveryDate]]-Sales[[#This Row],[OrderDate]]</f>
        <v>9</v>
      </c>
      <c r="T754" s="14" t="str">
        <f>IF(Sales[[#This Row],[Delivery Days]]&lt;=$W$2, "Timely", "Delayed")</f>
        <v>Delayed</v>
      </c>
      <c r="U754" t="s">
        <v>2924</v>
      </c>
    </row>
    <row r="755" spans="1:21" x14ac:dyDescent="0.25">
      <c r="A755" s="4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 s="6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1">
        <v>45144</v>
      </c>
      <c r="R755" s="1">
        <v>45150</v>
      </c>
      <c r="S755" s="14">
        <f>Sales[[#This Row],[DeliveryDate]]-Sales[[#This Row],[OrderDate]]</f>
        <v>6</v>
      </c>
      <c r="T755" s="14" t="str">
        <f>IF(Sales[[#This Row],[Delivery Days]]&lt;=$W$2, "Timely", "Delayed")</f>
        <v>Timely</v>
      </c>
      <c r="U755" t="s">
        <v>2922</v>
      </c>
    </row>
    <row r="756" spans="1:21" x14ac:dyDescent="0.25">
      <c r="A756" s="4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 s="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1">
        <v>45464</v>
      </c>
      <c r="R756" s="1">
        <v>45470</v>
      </c>
      <c r="S756" s="14">
        <f>Sales[[#This Row],[DeliveryDate]]-Sales[[#This Row],[OrderDate]]</f>
        <v>6</v>
      </c>
      <c r="T756" s="14" t="str">
        <f>IF(Sales[[#This Row],[Delivery Days]]&lt;=$W$2, "Timely", "Delayed")</f>
        <v>Timely</v>
      </c>
      <c r="U756" t="s">
        <v>2926</v>
      </c>
    </row>
    <row r="757" spans="1:21" x14ac:dyDescent="0.25">
      <c r="A757" s="4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 s="6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1">
        <v>45732</v>
      </c>
      <c r="R757" s="1">
        <v>45740</v>
      </c>
      <c r="S757" s="14">
        <f>Sales[[#This Row],[DeliveryDate]]-Sales[[#This Row],[OrderDate]]</f>
        <v>8</v>
      </c>
      <c r="T757" s="14" t="str">
        <f>IF(Sales[[#This Row],[Delivery Days]]&lt;=$W$2, "Timely", "Delayed")</f>
        <v>Delayed</v>
      </c>
      <c r="U757" t="s">
        <v>2924</v>
      </c>
    </row>
    <row r="758" spans="1:21" x14ac:dyDescent="0.25">
      <c r="A758" s="4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 s="6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1">
        <v>45402</v>
      </c>
      <c r="R758" s="1">
        <v>45407</v>
      </c>
      <c r="S758" s="14">
        <f>Sales[[#This Row],[DeliveryDate]]-Sales[[#This Row],[OrderDate]]</f>
        <v>5</v>
      </c>
      <c r="T758" s="14" t="str">
        <f>IF(Sales[[#This Row],[Delivery Days]]&lt;=$W$2, "Timely", "Delayed")</f>
        <v>Timely</v>
      </c>
      <c r="U758" t="s">
        <v>2926</v>
      </c>
    </row>
    <row r="759" spans="1:21" x14ac:dyDescent="0.25">
      <c r="A759" s="4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 s="6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1">
        <v>45646</v>
      </c>
      <c r="R759" s="1">
        <v>45655</v>
      </c>
      <c r="S759" s="14">
        <f>Sales[[#This Row],[DeliveryDate]]-Sales[[#This Row],[OrderDate]]</f>
        <v>9</v>
      </c>
      <c r="T759" s="14" t="str">
        <f>IF(Sales[[#This Row],[Delivery Days]]&lt;=$W$2, "Timely", "Delayed")</f>
        <v>Delayed</v>
      </c>
      <c r="U759" t="s">
        <v>2922</v>
      </c>
    </row>
    <row r="760" spans="1:21" x14ac:dyDescent="0.25">
      <c r="A760" s="4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 s="6">
        <v>2748.24</v>
      </c>
      <c r="K760" t="s">
        <v>47</v>
      </c>
      <c r="L760" t="s">
        <v>2941</v>
      </c>
      <c r="M760">
        <v>0</v>
      </c>
      <c r="N760" t="s">
        <v>809</v>
      </c>
      <c r="O760" t="s">
        <v>2278</v>
      </c>
      <c r="P760">
        <v>16.100000000000001</v>
      </c>
      <c r="Q760" s="1">
        <v>45160</v>
      </c>
      <c r="R760" s="1">
        <v>45170</v>
      </c>
      <c r="S760" s="14">
        <f>Sales[[#This Row],[DeliveryDate]]-Sales[[#This Row],[OrderDate]]</f>
        <v>10</v>
      </c>
      <c r="T760" s="14" t="str">
        <f>IF(Sales[[#This Row],[Delivery Days]]&lt;=$W$2, "Timely", "Delayed")</f>
        <v>Delayed</v>
      </c>
      <c r="U760" t="s">
        <v>2924</v>
      </c>
    </row>
    <row r="761" spans="1:21" x14ac:dyDescent="0.25">
      <c r="A761" s="4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 s="6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1">
        <v>44989</v>
      </c>
      <c r="R761" s="1">
        <v>44998</v>
      </c>
      <c r="S761" s="14">
        <f>Sales[[#This Row],[DeliveryDate]]-Sales[[#This Row],[OrderDate]]</f>
        <v>9</v>
      </c>
      <c r="T761" s="14" t="str">
        <f>IF(Sales[[#This Row],[Delivery Days]]&lt;=$W$2, "Timely", "Delayed")</f>
        <v>Delayed</v>
      </c>
      <c r="U761" t="s">
        <v>2924</v>
      </c>
    </row>
    <row r="762" spans="1:21" x14ac:dyDescent="0.25">
      <c r="A762" s="4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 s="6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1">
        <v>45467</v>
      </c>
      <c r="R762" s="1">
        <v>45474</v>
      </c>
      <c r="S762" s="14">
        <f>Sales[[#This Row],[DeliveryDate]]-Sales[[#This Row],[OrderDate]]</f>
        <v>7</v>
      </c>
      <c r="T762" s="14" t="str">
        <f>IF(Sales[[#This Row],[Delivery Days]]&lt;=$W$2, "Timely", "Delayed")</f>
        <v>Delayed</v>
      </c>
      <c r="U762" t="s">
        <v>2924</v>
      </c>
    </row>
    <row r="763" spans="1:21" x14ac:dyDescent="0.25">
      <c r="A763" s="4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 s="6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1">
        <v>45635</v>
      </c>
      <c r="R763" s="1">
        <v>45639</v>
      </c>
      <c r="S763" s="14">
        <f>Sales[[#This Row],[DeliveryDate]]-Sales[[#This Row],[OrderDate]]</f>
        <v>4</v>
      </c>
      <c r="T763" s="14" t="str">
        <f>IF(Sales[[#This Row],[Delivery Days]]&lt;=$W$2, "Timely", "Delayed")</f>
        <v>Timely</v>
      </c>
      <c r="U763" t="s">
        <v>2922</v>
      </c>
    </row>
    <row r="764" spans="1:21" x14ac:dyDescent="0.25">
      <c r="A764" s="4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 s="6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1">
        <v>45477</v>
      </c>
      <c r="R764" s="1">
        <v>45480</v>
      </c>
      <c r="S764" s="14">
        <f>Sales[[#This Row],[DeliveryDate]]-Sales[[#This Row],[OrderDate]]</f>
        <v>3</v>
      </c>
      <c r="T764" s="14" t="str">
        <f>IF(Sales[[#This Row],[Delivery Days]]&lt;=$W$2, "Timely", "Delayed")</f>
        <v>Timely</v>
      </c>
      <c r="U764" t="s">
        <v>2926</v>
      </c>
    </row>
    <row r="765" spans="1:21" x14ac:dyDescent="0.25">
      <c r="A765" s="4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 s="6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1">
        <v>45720</v>
      </c>
      <c r="R765" s="1">
        <v>45722</v>
      </c>
      <c r="S765" s="14">
        <f>Sales[[#This Row],[DeliveryDate]]-Sales[[#This Row],[OrderDate]]</f>
        <v>2</v>
      </c>
      <c r="T765" s="14" t="str">
        <f>IF(Sales[[#This Row],[Delivery Days]]&lt;=$W$2, "Timely", "Delayed")</f>
        <v>Timely</v>
      </c>
      <c r="U765" t="s">
        <v>2922</v>
      </c>
    </row>
    <row r="766" spans="1:21" x14ac:dyDescent="0.25">
      <c r="A766" s="4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 s="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1">
        <v>45313</v>
      </c>
      <c r="R766" s="1">
        <v>45320</v>
      </c>
      <c r="S766" s="14">
        <f>Sales[[#This Row],[DeliveryDate]]-Sales[[#This Row],[OrderDate]]</f>
        <v>7</v>
      </c>
      <c r="T766" s="14" t="str">
        <f>IF(Sales[[#This Row],[Delivery Days]]&lt;=$W$2, "Timely", "Delayed")</f>
        <v>Delayed</v>
      </c>
      <c r="U766" t="s">
        <v>2922</v>
      </c>
    </row>
    <row r="767" spans="1:21" x14ac:dyDescent="0.25">
      <c r="A767" s="4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 s="6">
        <v>7369.2640000000001</v>
      </c>
      <c r="K767" t="s">
        <v>47</v>
      </c>
      <c r="L767" t="s">
        <v>2941</v>
      </c>
      <c r="M767">
        <v>0</v>
      </c>
      <c r="N767" t="s">
        <v>816</v>
      </c>
      <c r="O767" t="s">
        <v>2284</v>
      </c>
      <c r="P767">
        <v>36.72</v>
      </c>
      <c r="Q767" s="1">
        <v>45728</v>
      </c>
      <c r="R767" s="1">
        <v>45737</v>
      </c>
      <c r="S767" s="14">
        <f>Sales[[#This Row],[DeliveryDate]]-Sales[[#This Row],[OrderDate]]</f>
        <v>9</v>
      </c>
      <c r="T767" s="14" t="str">
        <f>IF(Sales[[#This Row],[Delivery Days]]&lt;=$W$2, "Timely", "Delayed")</f>
        <v>Delayed</v>
      </c>
      <c r="U767" t="s">
        <v>2922</v>
      </c>
    </row>
    <row r="768" spans="1:21" x14ac:dyDescent="0.25">
      <c r="A768" s="4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 s="6">
        <v>332.31</v>
      </c>
      <c r="K768" t="s">
        <v>46</v>
      </c>
      <c r="L768" t="s">
        <v>2941</v>
      </c>
      <c r="M768">
        <v>0</v>
      </c>
      <c r="N768" t="s">
        <v>817</v>
      </c>
      <c r="O768" t="s">
        <v>2285</v>
      </c>
      <c r="P768">
        <v>25.27</v>
      </c>
      <c r="Q768" s="1">
        <v>45716</v>
      </c>
      <c r="R768" s="1">
        <v>45719</v>
      </c>
      <c r="S768" s="14">
        <f>Sales[[#This Row],[DeliveryDate]]-Sales[[#This Row],[OrderDate]]</f>
        <v>3</v>
      </c>
      <c r="T768" s="14" t="str">
        <f>IF(Sales[[#This Row],[Delivery Days]]&lt;=$W$2, "Timely", "Delayed")</f>
        <v>Timely</v>
      </c>
      <c r="U768" t="s">
        <v>2925</v>
      </c>
    </row>
    <row r="769" spans="1:21" x14ac:dyDescent="0.25">
      <c r="A769" s="4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 s="6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1">
        <v>45435</v>
      </c>
      <c r="R769" s="1">
        <v>45443</v>
      </c>
      <c r="S769" s="14">
        <f>Sales[[#This Row],[DeliveryDate]]-Sales[[#This Row],[OrderDate]]</f>
        <v>8</v>
      </c>
      <c r="T769" s="14" t="str">
        <f>IF(Sales[[#This Row],[Delivery Days]]&lt;=$W$2, "Timely", "Delayed")</f>
        <v>Delayed</v>
      </c>
      <c r="U769" t="s">
        <v>2922</v>
      </c>
    </row>
    <row r="770" spans="1:21" x14ac:dyDescent="0.25">
      <c r="A770" s="4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 s="6">
        <v>2262.1590000000001</v>
      </c>
      <c r="K770" t="s">
        <v>45</v>
      </c>
      <c r="L770" t="s">
        <v>2941</v>
      </c>
      <c r="M770">
        <v>1</v>
      </c>
      <c r="N770" t="s">
        <v>819</v>
      </c>
      <c r="O770" t="s">
        <v>2287</v>
      </c>
      <c r="P770">
        <v>24.3</v>
      </c>
      <c r="Q770" s="1">
        <v>45186</v>
      </c>
      <c r="R770" s="1">
        <v>45189</v>
      </c>
      <c r="S770" s="14">
        <f>Sales[[#This Row],[DeliveryDate]]-Sales[[#This Row],[OrderDate]]</f>
        <v>3</v>
      </c>
      <c r="T770" s="14" t="str">
        <f>IF(Sales[[#This Row],[Delivery Days]]&lt;=$W$2, "Timely", "Delayed")</f>
        <v>Timely</v>
      </c>
      <c r="U770" t="s">
        <v>2924</v>
      </c>
    </row>
    <row r="771" spans="1:21" x14ac:dyDescent="0.25">
      <c r="A771" s="4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 s="6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1">
        <v>45090</v>
      </c>
      <c r="R771" s="1">
        <v>45095</v>
      </c>
      <c r="S771" s="14">
        <f>Sales[[#This Row],[DeliveryDate]]-Sales[[#This Row],[OrderDate]]</f>
        <v>5</v>
      </c>
      <c r="T771" s="14" t="str">
        <f>IF(Sales[[#This Row],[Delivery Days]]&lt;=$W$2, "Timely", "Delayed")</f>
        <v>Timely</v>
      </c>
      <c r="U771" t="s">
        <v>2922</v>
      </c>
    </row>
    <row r="772" spans="1:21" x14ac:dyDescent="0.25">
      <c r="A772" s="4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 s="6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1">
        <v>45808</v>
      </c>
      <c r="R772" s="1">
        <v>45810</v>
      </c>
      <c r="S772" s="14">
        <f>Sales[[#This Row],[DeliveryDate]]-Sales[[#This Row],[OrderDate]]</f>
        <v>2</v>
      </c>
      <c r="T772" s="14" t="str">
        <f>IF(Sales[[#This Row],[Delivery Days]]&lt;=$W$2, "Timely", "Delayed")</f>
        <v>Timely</v>
      </c>
      <c r="U772" t="s">
        <v>2926</v>
      </c>
    </row>
    <row r="773" spans="1:21" x14ac:dyDescent="0.25">
      <c r="A773" s="4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 s="6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1">
        <v>45210</v>
      </c>
      <c r="R773" s="1">
        <v>45213</v>
      </c>
      <c r="S773" s="14">
        <f>Sales[[#This Row],[DeliveryDate]]-Sales[[#This Row],[OrderDate]]</f>
        <v>3</v>
      </c>
      <c r="T773" s="14" t="str">
        <f>IF(Sales[[#This Row],[Delivery Days]]&lt;=$W$2, "Timely", "Delayed")</f>
        <v>Timely</v>
      </c>
      <c r="U773" t="s">
        <v>2922</v>
      </c>
    </row>
    <row r="774" spans="1:21" x14ac:dyDescent="0.25">
      <c r="A774" s="4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 s="6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1">
        <v>45145</v>
      </c>
      <c r="R774" s="1">
        <v>45152</v>
      </c>
      <c r="S774" s="14">
        <f>Sales[[#This Row],[DeliveryDate]]-Sales[[#This Row],[OrderDate]]</f>
        <v>7</v>
      </c>
      <c r="T774" s="14" t="str">
        <f>IF(Sales[[#This Row],[Delivery Days]]&lt;=$W$2, "Timely", "Delayed")</f>
        <v>Delayed</v>
      </c>
      <c r="U774" t="s">
        <v>2926</v>
      </c>
    </row>
    <row r="775" spans="1:21" x14ac:dyDescent="0.25">
      <c r="A775" s="4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 s="6">
        <v>6088.2269999999999</v>
      </c>
      <c r="K775" t="s">
        <v>46</v>
      </c>
      <c r="L775" t="s">
        <v>2941</v>
      </c>
      <c r="M775">
        <v>1</v>
      </c>
      <c r="N775" t="s">
        <v>824</v>
      </c>
      <c r="O775" t="s">
        <v>2292</v>
      </c>
      <c r="P775">
        <v>38.479999999999997</v>
      </c>
      <c r="Q775" s="1">
        <v>45263</v>
      </c>
      <c r="R775" s="1">
        <v>45265</v>
      </c>
      <c r="S775" s="14">
        <f>Sales[[#This Row],[DeliveryDate]]-Sales[[#This Row],[OrderDate]]</f>
        <v>2</v>
      </c>
      <c r="T775" s="14" t="str">
        <f>IF(Sales[[#This Row],[Delivery Days]]&lt;=$W$2, "Timely", "Delayed")</f>
        <v>Timely</v>
      </c>
      <c r="U775" t="s">
        <v>2924</v>
      </c>
    </row>
    <row r="776" spans="1:21" x14ac:dyDescent="0.25">
      <c r="A776" s="4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 s="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1">
        <v>45505</v>
      </c>
      <c r="R776" s="1">
        <v>45508</v>
      </c>
      <c r="S776" s="14">
        <f>Sales[[#This Row],[DeliveryDate]]-Sales[[#This Row],[OrderDate]]</f>
        <v>3</v>
      </c>
      <c r="T776" s="14" t="str">
        <f>IF(Sales[[#This Row],[Delivery Days]]&lt;=$W$2, "Timely", "Delayed")</f>
        <v>Timely</v>
      </c>
      <c r="U776" t="s">
        <v>2925</v>
      </c>
    </row>
    <row r="777" spans="1:21" x14ac:dyDescent="0.25">
      <c r="A777" s="4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 s="6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1">
        <v>45005</v>
      </c>
      <c r="R777" s="1">
        <v>45012</v>
      </c>
      <c r="S777" s="14">
        <f>Sales[[#This Row],[DeliveryDate]]-Sales[[#This Row],[OrderDate]]</f>
        <v>7</v>
      </c>
      <c r="T777" s="14" t="str">
        <f>IF(Sales[[#This Row],[Delivery Days]]&lt;=$W$2, "Timely", "Delayed")</f>
        <v>Delayed</v>
      </c>
      <c r="U777" t="s">
        <v>2922</v>
      </c>
    </row>
    <row r="778" spans="1:21" x14ac:dyDescent="0.25">
      <c r="A778" s="4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 s="6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1">
        <v>45838</v>
      </c>
      <c r="R778" s="1">
        <v>45842</v>
      </c>
      <c r="S778" s="14">
        <f>Sales[[#This Row],[DeliveryDate]]-Sales[[#This Row],[OrderDate]]</f>
        <v>4</v>
      </c>
      <c r="T778" s="14" t="str">
        <f>IF(Sales[[#This Row],[Delivery Days]]&lt;=$W$2, "Timely", "Delayed")</f>
        <v>Timely</v>
      </c>
      <c r="U778" t="s">
        <v>2925</v>
      </c>
    </row>
    <row r="779" spans="1:21" x14ac:dyDescent="0.25">
      <c r="A779" s="4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 s="6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1">
        <v>45693</v>
      </c>
      <c r="R779" s="1">
        <v>45695</v>
      </c>
      <c r="S779" s="14">
        <f>Sales[[#This Row],[DeliveryDate]]-Sales[[#This Row],[OrderDate]]</f>
        <v>2</v>
      </c>
      <c r="T779" s="14" t="str">
        <f>IF(Sales[[#This Row],[Delivery Days]]&lt;=$W$2, "Timely", "Delayed")</f>
        <v>Timely</v>
      </c>
      <c r="U779" t="s">
        <v>2923</v>
      </c>
    </row>
    <row r="780" spans="1:21" x14ac:dyDescent="0.25">
      <c r="A780" s="4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 s="6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1">
        <v>45431</v>
      </c>
      <c r="R780" s="1">
        <v>45441</v>
      </c>
      <c r="S780" s="14">
        <f>Sales[[#This Row],[DeliveryDate]]-Sales[[#This Row],[OrderDate]]</f>
        <v>10</v>
      </c>
      <c r="T780" s="14" t="str">
        <f>IF(Sales[[#This Row],[Delivery Days]]&lt;=$W$2, "Timely", "Delayed")</f>
        <v>Delayed</v>
      </c>
      <c r="U780" t="s">
        <v>2922</v>
      </c>
    </row>
    <row r="781" spans="1:21" x14ac:dyDescent="0.25">
      <c r="A781" s="4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 s="6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1">
        <v>44989</v>
      </c>
      <c r="R781" s="1">
        <v>44997</v>
      </c>
      <c r="S781" s="14">
        <f>Sales[[#This Row],[DeliveryDate]]-Sales[[#This Row],[OrderDate]]</f>
        <v>8</v>
      </c>
      <c r="T781" s="14" t="str">
        <f>IF(Sales[[#This Row],[Delivery Days]]&lt;=$W$2, "Timely", "Delayed")</f>
        <v>Delayed</v>
      </c>
      <c r="U781" t="s">
        <v>2924</v>
      </c>
    </row>
    <row r="782" spans="1:21" x14ac:dyDescent="0.25">
      <c r="A782" s="4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 s="6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1">
        <v>44948</v>
      </c>
      <c r="R782" s="1">
        <v>44950</v>
      </c>
      <c r="S782" s="14">
        <f>Sales[[#This Row],[DeliveryDate]]-Sales[[#This Row],[OrderDate]]</f>
        <v>2</v>
      </c>
      <c r="T782" s="14" t="str">
        <f>IF(Sales[[#This Row],[Delivery Days]]&lt;=$W$2, "Timely", "Delayed")</f>
        <v>Timely</v>
      </c>
      <c r="U782" t="s">
        <v>2925</v>
      </c>
    </row>
    <row r="783" spans="1:21" x14ac:dyDescent="0.25">
      <c r="A783" s="4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 s="6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1">
        <v>45005</v>
      </c>
      <c r="R783" s="1">
        <v>45010</v>
      </c>
      <c r="S783" s="14">
        <f>Sales[[#This Row],[DeliveryDate]]-Sales[[#This Row],[OrderDate]]</f>
        <v>5</v>
      </c>
      <c r="T783" s="14" t="str">
        <f>IF(Sales[[#This Row],[Delivery Days]]&lt;=$W$2, "Timely", "Delayed")</f>
        <v>Timely</v>
      </c>
      <c r="U783" t="s">
        <v>2923</v>
      </c>
    </row>
    <row r="784" spans="1:21" x14ac:dyDescent="0.25">
      <c r="A784" s="4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 s="6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1">
        <v>45448</v>
      </c>
      <c r="R784" s="1">
        <v>45456</v>
      </c>
      <c r="S784" s="14">
        <f>Sales[[#This Row],[DeliveryDate]]-Sales[[#This Row],[OrderDate]]</f>
        <v>8</v>
      </c>
      <c r="T784" s="14" t="str">
        <f>IF(Sales[[#This Row],[Delivery Days]]&lt;=$W$2, "Timely", "Delayed")</f>
        <v>Delayed</v>
      </c>
      <c r="U784" t="s">
        <v>2926</v>
      </c>
    </row>
    <row r="785" spans="1:21" x14ac:dyDescent="0.25">
      <c r="A785" s="4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 s="6">
        <v>873.22199999999987</v>
      </c>
      <c r="K785" t="s">
        <v>47</v>
      </c>
      <c r="L785" t="s">
        <v>2941</v>
      </c>
      <c r="M785">
        <v>1</v>
      </c>
      <c r="N785" t="s">
        <v>834</v>
      </c>
      <c r="O785" t="s">
        <v>2301</v>
      </c>
      <c r="P785">
        <v>44.72</v>
      </c>
      <c r="Q785" s="1">
        <v>45482</v>
      </c>
      <c r="R785" s="1">
        <v>45490</v>
      </c>
      <c r="S785" s="14">
        <f>Sales[[#This Row],[DeliveryDate]]-Sales[[#This Row],[OrderDate]]</f>
        <v>8</v>
      </c>
      <c r="T785" s="14" t="str">
        <f>IF(Sales[[#This Row],[Delivery Days]]&lt;=$W$2, "Timely", "Delayed")</f>
        <v>Delayed</v>
      </c>
      <c r="U785" t="s">
        <v>2922</v>
      </c>
    </row>
    <row r="786" spans="1:21" x14ac:dyDescent="0.25">
      <c r="A786" s="4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 s="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1">
        <v>45724</v>
      </c>
      <c r="R786" s="1">
        <v>45729</v>
      </c>
      <c r="S786" s="14">
        <f>Sales[[#This Row],[DeliveryDate]]-Sales[[#This Row],[OrderDate]]</f>
        <v>5</v>
      </c>
      <c r="T786" s="14" t="str">
        <f>IF(Sales[[#This Row],[Delivery Days]]&lt;=$W$2, "Timely", "Delayed")</f>
        <v>Timely</v>
      </c>
      <c r="U786" t="s">
        <v>2923</v>
      </c>
    </row>
    <row r="787" spans="1:21" x14ac:dyDescent="0.25">
      <c r="A787" s="4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 s="6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1">
        <v>45829</v>
      </c>
      <c r="R787" s="1">
        <v>45838</v>
      </c>
      <c r="S787" s="14">
        <f>Sales[[#This Row],[DeliveryDate]]-Sales[[#This Row],[OrderDate]]</f>
        <v>9</v>
      </c>
      <c r="T787" s="14" t="str">
        <f>IF(Sales[[#This Row],[Delivery Days]]&lt;=$W$2, "Timely", "Delayed")</f>
        <v>Delayed</v>
      </c>
      <c r="U787" t="s">
        <v>2923</v>
      </c>
    </row>
    <row r="788" spans="1:21" x14ac:dyDescent="0.25">
      <c r="A788" s="4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 s="6">
        <v>3772.2489999999989</v>
      </c>
      <c r="K788" t="s">
        <v>47</v>
      </c>
      <c r="L788" t="s">
        <v>2941</v>
      </c>
      <c r="M788">
        <v>0</v>
      </c>
      <c r="N788" t="s">
        <v>837</v>
      </c>
      <c r="O788" t="s">
        <v>2304</v>
      </c>
      <c r="P788">
        <v>18.2</v>
      </c>
      <c r="Q788" s="1">
        <v>45836</v>
      </c>
      <c r="R788" s="1">
        <v>45839</v>
      </c>
      <c r="S788" s="14">
        <f>Sales[[#This Row],[DeliveryDate]]-Sales[[#This Row],[OrderDate]]</f>
        <v>3</v>
      </c>
      <c r="T788" s="14" t="str">
        <f>IF(Sales[[#This Row],[Delivery Days]]&lt;=$W$2, "Timely", "Delayed")</f>
        <v>Timely</v>
      </c>
      <c r="U788" t="s">
        <v>2924</v>
      </c>
    </row>
    <row r="789" spans="1:21" x14ac:dyDescent="0.25">
      <c r="A789" s="4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 s="6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1">
        <v>45752</v>
      </c>
      <c r="R789" s="1">
        <v>45760</v>
      </c>
      <c r="S789" s="14">
        <f>Sales[[#This Row],[DeliveryDate]]-Sales[[#This Row],[OrderDate]]</f>
        <v>8</v>
      </c>
      <c r="T789" s="14" t="str">
        <f>IF(Sales[[#This Row],[Delivery Days]]&lt;=$W$2, "Timely", "Delayed")</f>
        <v>Delayed</v>
      </c>
      <c r="U789" t="s">
        <v>2926</v>
      </c>
    </row>
    <row r="790" spans="1:21" x14ac:dyDescent="0.25">
      <c r="A790" s="4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 s="6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1">
        <v>45356</v>
      </c>
      <c r="R790" s="1">
        <v>45363</v>
      </c>
      <c r="S790" s="14">
        <f>Sales[[#This Row],[DeliveryDate]]-Sales[[#This Row],[OrderDate]]</f>
        <v>7</v>
      </c>
      <c r="T790" s="14" t="str">
        <f>IF(Sales[[#This Row],[Delivery Days]]&lt;=$W$2, "Timely", "Delayed")</f>
        <v>Delayed</v>
      </c>
      <c r="U790" t="s">
        <v>2923</v>
      </c>
    </row>
    <row r="791" spans="1:21" x14ac:dyDescent="0.25">
      <c r="A791" s="4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 s="6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1">
        <v>45360</v>
      </c>
      <c r="R791" s="1">
        <v>45362</v>
      </c>
      <c r="S791" s="14">
        <f>Sales[[#This Row],[DeliveryDate]]-Sales[[#This Row],[OrderDate]]</f>
        <v>2</v>
      </c>
      <c r="T791" s="14" t="str">
        <f>IF(Sales[[#This Row],[Delivery Days]]&lt;=$W$2, "Timely", "Delayed")</f>
        <v>Timely</v>
      </c>
      <c r="U791" t="s">
        <v>2922</v>
      </c>
    </row>
    <row r="792" spans="1:21" x14ac:dyDescent="0.25">
      <c r="A792" s="4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 s="6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1">
        <v>45713</v>
      </c>
      <c r="R792" s="1">
        <v>45716</v>
      </c>
      <c r="S792" s="14">
        <f>Sales[[#This Row],[DeliveryDate]]-Sales[[#This Row],[OrderDate]]</f>
        <v>3</v>
      </c>
      <c r="T792" s="14" t="str">
        <f>IF(Sales[[#This Row],[Delivery Days]]&lt;=$W$2, "Timely", "Delayed")</f>
        <v>Timely</v>
      </c>
      <c r="U792" t="s">
        <v>2925</v>
      </c>
    </row>
    <row r="793" spans="1:21" x14ac:dyDescent="0.25">
      <c r="A793" s="4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 s="6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1">
        <v>45612</v>
      </c>
      <c r="R793" s="1">
        <v>45619</v>
      </c>
      <c r="S793" s="14">
        <f>Sales[[#This Row],[DeliveryDate]]-Sales[[#This Row],[OrderDate]]</f>
        <v>7</v>
      </c>
      <c r="T793" s="14" t="str">
        <f>IF(Sales[[#This Row],[Delivery Days]]&lt;=$W$2, "Timely", "Delayed")</f>
        <v>Delayed</v>
      </c>
      <c r="U793" t="s">
        <v>2926</v>
      </c>
    </row>
    <row r="794" spans="1:21" x14ac:dyDescent="0.25">
      <c r="A794" s="4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 s="6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1">
        <v>45505</v>
      </c>
      <c r="R794" s="1">
        <v>45510</v>
      </c>
      <c r="S794" s="14">
        <f>Sales[[#This Row],[DeliveryDate]]-Sales[[#This Row],[OrderDate]]</f>
        <v>5</v>
      </c>
      <c r="T794" s="14" t="str">
        <f>IF(Sales[[#This Row],[Delivery Days]]&lt;=$W$2, "Timely", "Delayed")</f>
        <v>Timely</v>
      </c>
      <c r="U794" t="s">
        <v>2923</v>
      </c>
    </row>
    <row r="795" spans="1:21" x14ac:dyDescent="0.25">
      <c r="A795" s="4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 s="6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1">
        <v>45402</v>
      </c>
      <c r="R795" s="1">
        <v>45412</v>
      </c>
      <c r="S795" s="14">
        <f>Sales[[#This Row],[DeliveryDate]]-Sales[[#This Row],[OrderDate]]</f>
        <v>10</v>
      </c>
      <c r="T795" s="14" t="str">
        <f>IF(Sales[[#This Row],[Delivery Days]]&lt;=$W$2, "Timely", "Delayed")</f>
        <v>Delayed</v>
      </c>
      <c r="U795" t="s">
        <v>2926</v>
      </c>
    </row>
    <row r="796" spans="1:21" x14ac:dyDescent="0.25">
      <c r="A796" s="4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 s="6">
        <v>305.31599999999997</v>
      </c>
      <c r="K796" t="s">
        <v>46</v>
      </c>
      <c r="L796" t="s">
        <v>2941</v>
      </c>
      <c r="M796">
        <v>0</v>
      </c>
      <c r="N796" t="s">
        <v>845</v>
      </c>
      <c r="O796" t="s">
        <v>2311</v>
      </c>
      <c r="P796">
        <v>45.41</v>
      </c>
      <c r="Q796" s="1">
        <v>45402</v>
      </c>
      <c r="R796" s="1">
        <v>45407</v>
      </c>
      <c r="S796" s="14">
        <f>Sales[[#This Row],[DeliveryDate]]-Sales[[#This Row],[OrderDate]]</f>
        <v>5</v>
      </c>
      <c r="T796" s="14" t="str">
        <f>IF(Sales[[#This Row],[Delivery Days]]&lt;=$W$2, "Timely", "Delayed")</f>
        <v>Timely</v>
      </c>
      <c r="U796" t="s">
        <v>2923</v>
      </c>
    </row>
    <row r="797" spans="1:21" x14ac:dyDescent="0.25">
      <c r="A797" s="4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 s="6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1">
        <v>45191</v>
      </c>
      <c r="R797" s="1">
        <v>45197</v>
      </c>
      <c r="S797" s="14">
        <f>Sales[[#This Row],[DeliveryDate]]-Sales[[#This Row],[OrderDate]]</f>
        <v>6</v>
      </c>
      <c r="T797" s="14" t="str">
        <f>IF(Sales[[#This Row],[Delivery Days]]&lt;=$W$2, "Timely", "Delayed")</f>
        <v>Timely</v>
      </c>
      <c r="U797" t="s">
        <v>2924</v>
      </c>
    </row>
    <row r="798" spans="1:21" x14ac:dyDescent="0.25">
      <c r="A798" s="4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 s="6">
        <v>713.01600000000008</v>
      </c>
      <c r="K798" t="s">
        <v>43</v>
      </c>
      <c r="L798" t="s">
        <v>2941</v>
      </c>
      <c r="M798">
        <v>0</v>
      </c>
      <c r="N798" t="s">
        <v>847</v>
      </c>
      <c r="O798" t="s">
        <v>2313</v>
      </c>
      <c r="P798">
        <v>25.39</v>
      </c>
      <c r="Q798" s="1">
        <v>45709</v>
      </c>
      <c r="R798" s="1">
        <v>45718</v>
      </c>
      <c r="S798" s="14">
        <f>Sales[[#This Row],[DeliveryDate]]-Sales[[#This Row],[OrderDate]]</f>
        <v>9</v>
      </c>
      <c r="T798" s="14" t="str">
        <f>IF(Sales[[#This Row],[Delivery Days]]&lt;=$W$2, "Timely", "Delayed")</f>
        <v>Delayed</v>
      </c>
      <c r="U798" t="s">
        <v>2926</v>
      </c>
    </row>
    <row r="799" spans="1:21" x14ac:dyDescent="0.25">
      <c r="A799" s="4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 s="6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1">
        <v>45832</v>
      </c>
      <c r="R799" s="1">
        <v>45839</v>
      </c>
      <c r="S799" s="14">
        <f>Sales[[#This Row],[DeliveryDate]]-Sales[[#This Row],[OrderDate]]</f>
        <v>7</v>
      </c>
      <c r="T799" s="14" t="str">
        <f>IF(Sales[[#This Row],[Delivery Days]]&lt;=$W$2, "Timely", "Delayed")</f>
        <v>Delayed</v>
      </c>
      <c r="U799" t="s">
        <v>2922</v>
      </c>
    </row>
    <row r="800" spans="1:21" x14ac:dyDescent="0.25">
      <c r="A800" s="4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 s="6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1">
        <v>45258</v>
      </c>
      <c r="R800" s="1">
        <v>45265</v>
      </c>
      <c r="S800" s="14">
        <f>Sales[[#This Row],[DeliveryDate]]-Sales[[#This Row],[OrderDate]]</f>
        <v>7</v>
      </c>
      <c r="T800" s="14" t="str">
        <f>IF(Sales[[#This Row],[Delivery Days]]&lt;=$W$2, "Timely", "Delayed")</f>
        <v>Delayed</v>
      </c>
      <c r="U800" t="s">
        <v>2925</v>
      </c>
    </row>
    <row r="801" spans="1:21" x14ac:dyDescent="0.25">
      <c r="A801" s="4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 s="6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1">
        <v>45390</v>
      </c>
      <c r="R801" s="1">
        <v>45399</v>
      </c>
      <c r="S801" s="14">
        <f>Sales[[#This Row],[DeliveryDate]]-Sales[[#This Row],[OrderDate]]</f>
        <v>9</v>
      </c>
      <c r="T801" s="14" t="str">
        <f>IF(Sales[[#This Row],[Delivery Days]]&lt;=$W$2, "Timely", "Delayed")</f>
        <v>Delayed</v>
      </c>
      <c r="U801" t="s">
        <v>2924</v>
      </c>
    </row>
    <row r="802" spans="1:21" x14ac:dyDescent="0.25">
      <c r="A802" s="4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 s="6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1">
        <v>45664</v>
      </c>
      <c r="R802" s="1">
        <v>45671</v>
      </c>
      <c r="S802" s="14">
        <f>Sales[[#This Row],[DeliveryDate]]-Sales[[#This Row],[OrderDate]]</f>
        <v>7</v>
      </c>
      <c r="T802" s="14" t="str">
        <f>IF(Sales[[#This Row],[Delivery Days]]&lt;=$W$2, "Timely", "Delayed")</f>
        <v>Delayed</v>
      </c>
      <c r="U802" t="s">
        <v>2924</v>
      </c>
    </row>
    <row r="803" spans="1:21" x14ac:dyDescent="0.25">
      <c r="A803" s="4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 s="6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1">
        <v>44981</v>
      </c>
      <c r="R803" s="1">
        <v>44988</v>
      </c>
      <c r="S803" s="14">
        <f>Sales[[#This Row],[DeliveryDate]]-Sales[[#This Row],[OrderDate]]</f>
        <v>7</v>
      </c>
      <c r="T803" s="14" t="str">
        <f>IF(Sales[[#This Row],[Delivery Days]]&lt;=$W$2, "Timely", "Delayed")</f>
        <v>Delayed</v>
      </c>
      <c r="U803" t="s">
        <v>2923</v>
      </c>
    </row>
    <row r="804" spans="1:21" x14ac:dyDescent="0.25">
      <c r="A804" s="4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 s="6">
        <v>4599.2700000000004</v>
      </c>
      <c r="K804" t="s">
        <v>43</v>
      </c>
      <c r="L804" t="s">
        <v>2941</v>
      </c>
      <c r="M804">
        <v>0</v>
      </c>
      <c r="N804" t="s">
        <v>853</v>
      </c>
      <c r="O804" t="s">
        <v>1558</v>
      </c>
      <c r="P804">
        <v>12.64</v>
      </c>
      <c r="Q804" s="1">
        <v>45218</v>
      </c>
      <c r="R804" s="1">
        <v>45225</v>
      </c>
      <c r="S804" s="14">
        <f>Sales[[#This Row],[DeliveryDate]]-Sales[[#This Row],[OrderDate]]</f>
        <v>7</v>
      </c>
      <c r="T804" s="14" t="str">
        <f>IF(Sales[[#This Row],[Delivery Days]]&lt;=$W$2, "Timely", "Delayed")</f>
        <v>Delayed</v>
      </c>
      <c r="U804" t="s">
        <v>2922</v>
      </c>
    </row>
    <row r="805" spans="1:21" x14ac:dyDescent="0.25">
      <c r="A805" s="4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 s="6">
        <v>712.81</v>
      </c>
      <c r="K805" t="s">
        <v>45</v>
      </c>
      <c r="L805" t="s">
        <v>2941</v>
      </c>
      <c r="M805">
        <v>0</v>
      </c>
      <c r="N805" t="s">
        <v>854</v>
      </c>
      <c r="O805" t="s">
        <v>2317</v>
      </c>
      <c r="P805">
        <v>41.11</v>
      </c>
      <c r="Q805" s="1">
        <v>45460</v>
      </c>
      <c r="R805" s="1">
        <v>45464</v>
      </c>
      <c r="S805" s="14">
        <f>Sales[[#This Row],[DeliveryDate]]-Sales[[#This Row],[OrderDate]]</f>
        <v>4</v>
      </c>
      <c r="T805" s="14" t="str">
        <f>IF(Sales[[#This Row],[Delivery Days]]&lt;=$W$2, "Timely", "Delayed")</f>
        <v>Timely</v>
      </c>
      <c r="U805" t="s">
        <v>2924</v>
      </c>
    </row>
    <row r="806" spans="1:21" x14ac:dyDescent="0.25">
      <c r="A806" s="4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 s="6">
        <v>1100.7</v>
      </c>
      <c r="K806" t="s">
        <v>45</v>
      </c>
      <c r="L806" t="s">
        <v>2941</v>
      </c>
      <c r="M806">
        <v>0</v>
      </c>
      <c r="N806" t="s">
        <v>855</v>
      </c>
      <c r="O806" t="s">
        <v>2318</v>
      </c>
      <c r="P806">
        <v>18.47</v>
      </c>
      <c r="Q806" s="1">
        <v>45098</v>
      </c>
      <c r="R806" s="1">
        <v>45106</v>
      </c>
      <c r="S806" s="14">
        <f>Sales[[#This Row],[DeliveryDate]]-Sales[[#This Row],[OrderDate]]</f>
        <v>8</v>
      </c>
      <c r="T806" s="14" t="str">
        <f>IF(Sales[[#This Row],[Delivery Days]]&lt;=$W$2, "Timely", "Delayed")</f>
        <v>Delayed</v>
      </c>
      <c r="U806" t="s">
        <v>2925</v>
      </c>
    </row>
    <row r="807" spans="1:21" x14ac:dyDescent="0.25">
      <c r="A807" s="4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 s="6">
        <v>1473.798</v>
      </c>
      <c r="K807" t="s">
        <v>44</v>
      </c>
      <c r="L807" t="s">
        <v>2941</v>
      </c>
      <c r="M807">
        <v>0</v>
      </c>
      <c r="N807" t="s">
        <v>856</v>
      </c>
      <c r="O807" t="s">
        <v>2319</v>
      </c>
      <c r="P807">
        <v>38.630000000000003</v>
      </c>
      <c r="Q807" s="1">
        <v>45534</v>
      </c>
      <c r="R807" s="1">
        <v>45537</v>
      </c>
      <c r="S807" s="14">
        <f>Sales[[#This Row],[DeliveryDate]]-Sales[[#This Row],[OrderDate]]</f>
        <v>3</v>
      </c>
      <c r="T807" s="14" t="str">
        <f>IF(Sales[[#This Row],[Delivery Days]]&lt;=$W$2, "Timely", "Delayed")</f>
        <v>Timely</v>
      </c>
      <c r="U807" t="s">
        <v>2922</v>
      </c>
    </row>
    <row r="808" spans="1:21" x14ac:dyDescent="0.25">
      <c r="A808" s="4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 s="6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1">
        <v>45660</v>
      </c>
      <c r="R808" s="1">
        <v>45670</v>
      </c>
      <c r="S808" s="14">
        <f>Sales[[#This Row],[DeliveryDate]]-Sales[[#This Row],[OrderDate]]</f>
        <v>10</v>
      </c>
      <c r="T808" s="14" t="str">
        <f>IF(Sales[[#This Row],[Delivery Days]]&lt;=$W$2, "Timely", "Delayed")</f>
        <v>Delayed</v>
      </c>
      <c r="U808" t="s">
        <v>2925</v>
      </c>
    </row>
    <row r="809" spans="1:21" x14ac:dyDescent="0.25">
      <c r="A809" s="4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 s="6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1">
        <v>44980</v>
      </c>
      <c r="R809" s="1">
        <v>44987</v>
      </c>
      <c r="S809" s="14">
        <f>Sales[[#This Row],[DeliveryDate]]-Sales[[#This Row],[OrderDate]]</f>
        <v>7</v>
      </c>
      <c r="T809" s="14" t="str">
        <f>IF(Sales[[#This Row],[Delivery Days]]&lt;=$W$2, "Timely", "Delayed")</f>
        <v>Delayed</v>
      </c>
      <c r="U809" t="s">
        <v>2926</v>
      </c>
    </row>
    <row r="810" spans="1:21" x14ac:dyDescent="0.25">
      <c r="A810" s="4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 s="6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1">
        <v>45773</v>
      </c>
      <c r="R810" s="1">
        <v>45776</v>
      </c>
      <c r="S810" s="14">
        <f>Sales[[#This Row],[DeliveryDate]]-Sales[[#This Row],[OrderDate]]</f>
        <v>3</v>
      </c>
      <c r="T810" s="14" t="str">
        <f>IF(Sales[[#This Row],[Delivery Days]]&lt;=$W$2, "Timely", "Delayed")</f>
        <v>Timely</v>
      </c>
      <c r="U810" t="s">
        <v>2925</v>
      </c>
    </row>
    <row r="811" spans="1:21" x14ac:dyDescent="0.25">
      <c r="A811" s="4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 s="6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1">
        <v>45085</v>
      </c>
      <c r="R811" s="1">
        <v>45091</v>
      </c>
      <c r="S811" s="14">
        <f>Sales[[#This Row],[DeliveryDate]]-Sales[[#This Row],[OrderDate]]</f>
        <v>6</v>
      </c>
      <c r="T811" s="14" t="str">
        <f>IF(Sales[[#This Row],[Delivery Days]]&lt;=$W$2, "Timely", "Delayed")</f>
        <v>Timely</v>
      </c>
      <c r="U811" t="s">
        <v>2923</v>
      </c>
    </row>
    <row r="812" spans="1:21" x14ac:dyDescent="0.25">
      <c r="A812" s="4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 s="6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1">
        <v>45001</v>
      </c>
      <c r="R812" s="1">
        <v>45010</v>
      </c>
      <c r="S812" s="14">
        <f>Sales[[#This Row],[DeliveryDate]]-Sales[[#This Row],[OrderDate]]</f>
        <v>9</v>
      </c>
      <c r="T812" s="14" t="str">
        <f>IF(Sales[[#This Row],[Delivery Days]]&lt;=$W$2, "Timely", "Delayed")</f>
        <v>Delayed</v>
      </c>
      <c r="U812" t="s">
        <v>2924</v>
      </c>
    </row>
    <row r="813" spans="1:21" x14ac:dyDescent="0.25">
      <c r="A813" s="4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 s="6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1">
        <v>45588</v>
      </c>
      <c r="R813" s="1">
        <v>45593</v>
      </c>
      <c r="S813" s="14">
        <f>Sales[[#This Row],[DeliveryDate]]-Sales[[#This Row],[OrderDate]]</f>
        <v>5</v>
      </c>
      <c r="T813" s="14" t="str">
        <f>IF(Sales[[#This Row],[Delivery Days]]&lt;=$W$2, "Timely", "Delayed")</f>
        <v>Timely</v>
      </c>
      <c r="U813" t="s">
        <v>2924</v>
      </c>
    </row>
    <row r="814" spans="1:21" x14ac:dyDescent="0.25">
      <c r="A814" s="4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 s="6">
        <v>1297.2149999999999</v>
      </c>
      <c r="K814" t="s">
        <v>46</v>
      </c>
      <c r="L814" t="s">
        <v>2941</v>
      </c>
      <c r="M814">
        <v>1</v>
      </c>
      <c r="N814" t="s">
        <v>863</v>
      </c>
      <c r="O814" t="s">
        <v>2325</v>
      </c>
      <c r="P814">
        <v>29.64</v>
      </c>
      <c r="Q814" s="1">
        <v>45800</v>
      </c>
      <c r="R814" s="1">
        <v>45805</v>
      </c>
      <c r="S814" s="14">
        <f>Sales[[#This Row],[DeliveryDate]]-Sales[[#This Row],[OrderDate]]</f>
        <v>5</v>
      </c>
      <c r="T814" s="14" t="str">
        <f>IF(Sales[[#This Row],[Delivery Days]]&lt;=$W$2, "Timely", "Delayed")</f>
        <v>Timely</v>
      </c>
      <c r="U814" t="s">
        <v>2922</v>
      </c>
    </row>
    <row r="815" spans="1:21" x14ac:dyDescent="0.25">
      <c r="A815" s="4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 s="6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1">
        <v>45052</v>
      </c>
      <c r="R815" s="1">
        <v>45060</v>
      </c>
      <c r="S815" s="14">
        <f>Sales[[#This Row],[DeliveryDate]]-Sales[[#This Row],[OrderDate]]</f>
        <v>8</v>
      </c>
      <c r="T815" s="14" t="str">
        <f>IF(Sales[[#This Row],[Delivery Days]]&lt;=$W$2, "Timely", "Delayed")</f>
        <v>Delayed</v>
      </c>
      <c r="U815" t="s">
        <v>2922</v>
      </c>
    </row>
    <row r="816" spans="1:21" x14ac:dyDescent="0.25">
      <c r="A816" s="4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 s="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1">
        <v>45519</v>
      </c>
      <c r="R816" s="1">
        <v>45526</v>
      </c>
      <c r="S816" s="14">
        <f>Sales[[#This Row],[DeliveryDate]]-Sales[[#This Row],[OrderDate]]</f>
        <v>7</v>
      </c>
      <c r="T816" s="14" t="str">
        <f>IF(Sales[[#This Row],[Delivery Days]]&lt;=$W$2, "Timely", "Delayed")</f>
        <v>Delayed</v>
      </c>
      <c r="U816" t="s">
        <v>2923</v>
      </c>
    </row>
    <row r="817" spans="1:21" x14ac:dyDescent="0.25">
      <c r="A817" s="4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 s="6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1">
        <v>45161</v>
      </c>
      <c r="R817" s="1">
        <v>45169</v>
      </c>
      <c r="S817" s="14">
        <f>Sales[[#This Row],[DeliveryDate]]-Sales[[#This Row],[OrderDate]]</f>
        <v>8</v>
      </c>
      <c r="T817" s="14" t="str">
        <f>IF(Sales[[#This Row],[Delivery Days]]&lt;=$W$2, "Timely", "Delayed")</f>
        <v>Delayed</v>
      </c>
      <c r="U817" t="s">
        <v>2923</v>
      </c>
    </row>
    <row r="818" spans="1:21" x14ac:dyDescent="0.25">
      <c r="A818" s="4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 s="6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1">
        <v>45760</v>
      </c>
      <c r="R818" s="1">
        <v>45769</v>
      </c>
      <c r="S818" s="14">
        <f>Sales[[#This Row],[DeliveryDate]]-Sales[[#This Row],[OrderDate]]</f>
        <v>9</v>
      </c>
      <c r="T818" s="14" t="str">
        <f>IF(Sales[[#This Row],[Delivery Days]]&lt;=$W$2, "Timely", "Delayed")</f>
        <v>Delayed</v>
      </c>
      <c r="U818" t="s">
        <v>2923</v>
      </c>
    </row>
    <row r="819" spans="1:21" x14ac:dyDescent="0.25">
      <c r="A819" s="4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 s="6">
        <v>2557.9699999999998</v>
      </c>
      <c r="K819" t="s">
        <v>44</v>
      </c>
      <c r="L819" t="s">
        <v>2941</v>
      </c>
      <c r="M819">
        <v>0</v>
      </c>
      <c r="N819" t="s">
        <v>868</v>
      </c>
      <c r="O819" t="s">
        <v>2330</v>
      </c>
      <c r="P819">
        <v>45.81</v>
      </c>
      <c r="Q819" s="1">
        <v>45454</v>
      </c>
      <c r="R819" s="1">
        <v>45460</v>
      </c>
      <c r="S819" s="14">
        <f>Sales[[#This Row],[DeliveryDate]]-Sales[[#This Row],[OrderDate]]</f>
        <v>6</v>
      </c>
      <c r="T819" s="14" t="str">
        <f>IF(Sales[[#This Row],[Delivery Days]]&lt;=$W$2, "Timely", "Delayed")</f>
        <v>Timely</v>
      </c>
      <c r="U819" t="s">
        <v>2925</v>
      </c>
    </row>
    <row r="820" spans="1:21" x14ac:dyDescent="0.25">
      <c r="A820" s="4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 s="6">
        <v>2533.9050000000002</v>
      </c>
      <c r="K820" t="s">
        <v>43</v>
      </c>
      <c r="L820" t="s">
        <v>2941</v>
      </c>
      <c r="M820">
        <v>0</v>
      </c>
      <c r="N820" t="s">
        <v>869</v>
      </c>
      <c r="O820" t="s">
        <v>2331</v>
      </c>
      <c r="P820">
        <v>21.99</v>
      </c>
      <c r="Q820" s="1">
        <v>45411</v>
      </c>
      <c r="R820" s="1">
        <v>45416</v>
      </c>
      <c r="S820" s="14">
        <f>Sales[[#This Row],[DeliveryDate]]-Sales[[#This Row],[OrderDate]]</f>
        <v>5</v>
      </c>
      <c r="T820" s="14" t="str">
        <f>IF(Sales[[#This Row],[Delivery Days]]&lt;=$W$2, "Timely", "Delayed")</f>
        <v>Timely</v>
      </c>
      <c r="U820" t="s">
        <v>2923</v>
      </c>
    </row>
    <row r="821" spans="1:21" x14ac:dyDescent="0.25">
      <c r="A821" s="4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 s="6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1">
        <v>45012</v>
      </c>
      <c r="R821" s="1">
        <v>45020</v>
      </c>
      <c r="S821" s="14">
        <f>Sales[[#This Row],[DeliveryDate]]-Sales[[#This Row],[OrderDate]]</f>
        <v>8</v>
      </c>
      <c r="T821" s="14" t="str">
        <f>IF(Sales[[#This Row],[Delivery Days]]&lt;=$W$2, "Timely", "Delayed")</f>
        <v>Delayed</v>
      </c>
      <c r="U821" t="s">
        <v>2923</v>
      </c>
    </row>
    <row r="822" spans="1:21" x14ac:dyDescent="0.25">
      <c r="A822" s="4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 s="6">
        <v>3581.1</v>
      </c>
      <c r="K822" t="s">
        <v>45</v>
      </c>
      <c r="L822" t="s">
        <v>2941</v>
      </c>
      <c r="M822">
        <v>1</v>
      </c>
      <c r="N822" t="s">
        <v>871</v>
      </c>
      <c r="O822" t="s">
        <v>2333</v>
      </c>
      <c r="P822">
        <v>5.16</v>
      </c>
      <c r="Q822" s="1">
        <v>45588</v>
      </c>
      <c r="R822" s="1">
        <v>45590</v>
      </c>
      <c r="S822" s="14">
        <f>Sales[[#This Row],[DeliveryDate]]-Sales[[#This Row],[OrderDate]]</f>
        <v>2</v>
      </c>
      <c r="T822" s="14" t="str">
        <f>IF(Sales[[#This Row],[Delivery Days]]&lt;=$W$2, "Timely", "Delayed")</f>
        <v>Timely</v>
      </c>
      <c r="U822" t="s">
        <v>2924</v>
      </c>
    </row>
    <row r="823" spans="1:21" x14ac:dyDescent="0.25">
      <c r="A823" s="4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 s="6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1">
        <v>45098</v>
      </c>
      <c r="R823" s="1">
        <v>45105</v>
      </c>
      <c r="S823" s="14">
        <f>Sales[[#This Row],[DeliveryDate]]-Sales[[#This Row],[OrderDate]]</f>
        <v>7</v>
      </c>
      <c r="T823" s="14" t="str">
        <f>IF(Sales[[#This Row],[Delivery Days]]&lt;=$W$2, "Timely", "Delayed")</f>
        <v>Delayed</v>
      </c>
      <c r="U823" t="s">
        <v>2924</v>
      </c>
    </row>
    <row r="824" spans="1:21" x14ac:dyDescent="0.25">
      <c r="A824" s="4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 s="6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1">
        <v>45058</v>
      </c>
      <c r="R824" s="1">
        <v>45065</v>
      </c>
      <c r="S824" s="14">
        <f>Sales[[#This Row],[DeliveryDate]]-Sales[[#This Row],[OrderDate]]</f>
        <v>7</v>
      </c>
      <c r="T824" s="14" t="str">
        <f>IF(Sales[[#This Row],[Delivery Days]]&lt;=$W$2, "Timely", "Delayed")</f>
        <v>Delayed</v>
      </c>
      <c r="U824" t="s">
        <v>2925</v>
      </c>
    </row>
    <row r="825" spans="1:21" x14ac:dyDescent="0.25">
      <c r="A825" s="4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 s="6">
        <v>8955.1749999999993</v>
      </c>
      <c r="K825" t="s">
        <v>43</v>
      </c>
      <c r="L825" t="s">
        <v>2941</v>
      </c>
      <c r="M825">
        <v>1</v>
      </c>
      <c r="N825" t="s">
        <v>874</v>
      </c>
      <c r="O825" t="s">
        <v>2334</v>
      </c>
      <c r="P825">
        <v>47.16</v>
      </c>
      <c r="Q825" s="1">
        <v>45585</v>
      </c>
      <c r="R825" s="1">
        <v>45589</v>
      </c>
      <c r="S825" s="14">
        <f>Sales[[#This Row],[DeliveryDate]]-Sales[[#This Row],[OrderDate]]</f>
        <v>4</v>
      </c>
      <c r="T825" s="14" t="str">
        <f>IF(Sales[[#This Row],[Delivery Days]]&lt;=$W$2, "Timely", "Delayed")</f>
        <v>Timely</v>
      </c>
      <c r="U825" t="s">
        <v>2925</v>
      </c>
    </row>
    <row r="826" spans="1:21" x14ac:dyDescent="0.25">
      <c r="A826" s="4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 s="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1">
        <v>45386</v>
      </c>
      <c r="R826" s="1">
        <v>45389</v>
      </c>
      <c r="S826" s="14">
        <f>Sales[[#This Row],[DeliveryDate]]-Sales[[#This Row],[OrderDate]]</f>
        <v>3</v>
      </c>
      <c r="T826" s="14" t="str">
        <f>IF(Sales[[#This Row],[Delivery Days]]&lt;=$W$2, "Timely", "Delayed")</f>
        <v>Timely</v>
      </c>
      <c r="U826" t="s">
        <v>2924</v>
      </c>
    </row>
    <row r="827" spans="1:21" x14ac:dyDescent="0.25">
      <c r="A827" s="4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 s="6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1">
        <v>45669</v>
      </c>
      <c r="R827" s="1">
        <v>45673</v>
      </c>
      <c r="S827" s="14">
        <f>Sales[[#This Row],[DeliveryDate]]-Sales[[#This Row],[OrderDate]]</f>
        <v>4</v>
      </c>
      <c r="T827" s="14" t="str">
        <f>IF(Sales[[#This Row],[Delivery Days]]&lt;=$W$2, "Timely", "Delayed")</f>
        <v>Timely</v>
      </c>
      <c r="U827" t="s">
        <v>2925</v>
      </c>
    </row>
    <row r="828" spans="1:21" x14ac:dyDescent="0.25">
      <c r="A828" s="4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 s="6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1">
        <v>45131</v>
      </c>
      <c r="R828" s="1">
        <v>45136</v>
      </c>
      <c r="S828" s="14">
        <f>Sales[[#This Row],[DeliveryDate]]-Sales[[#This Row],[OrderDate]]</f>
        <v>5</v>
      </c>
      <c r="T828" s="14" t="str">
        <f>IF(Sales[[#This Row],[Delivery Days]]&lt;=$W$2, "Timely", "Delayed")</f>
        <v>Timely</v>
      </c>
      <c r="U828" t="s">
        <v>2923</v>
      </c>
    </row>
    <row r="829" spans="1:21" x14ac:dyDescent="0.25">
      <c r="A829" s="4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 s="6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1">
        <v>45178</v>
      </c>
      <c r="R829" s="1">
        <v>45182</v>
      </c>
      <c r="S829" s="14">
        <f>Sales[[#This Row],[DeliveryDate]]-Sales[[#This Row],[OrderDate]]</f>
        <v>4</v>
      </c>
      <c r="T829" s="14" t="str">
        <f>IF(Sales[[#This Row],[Delivery Days]]&lt;=$W$2, "Timely", "Delayed")</f>
        <v>Timely</v>
      </c>
      <c r="U829" t="s">
        <v>2924</v>
      </c>
    </row>
    <row r="830" spans="1:21" x14ac:dyDescent="0.25">
      <c r="A830" s="4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 s="6">
        <v>2340.2624999999998</v>
      </c>
      <c r="K830" t="s">
        <v>44</v>
      </c>
      <c r="L830" t="s">
        <v>2941</v>
      </c>
      <c r="M830">
        <v>0</v>
      </c>
      <c r="N830" t="s">
        <v>879</v>
      </c>
      <c r="O830" t="s">
        <v>2338</v>
      </c>
      <c r="P830">
        <v>16.82</v>
      </c>
      <c r="Q830" s="1">
        <v>45402</v>
      </c>
      <c r="R830" s="1">
        <v>45409</v>
      </c>
      <c r="S830" s="14">
        <f>Sales[[#This Row],[DeliveryDate]]-Sales[[#This Row],[OrderDate]]</f>
        <v>7</v>
      </c>
      <c r="T830" s="14" t="str">
        <f>IF(Sales[[#This Row],[Delivery Days]]&lt;=$W$2, "Timely", "Delayed")</f>
        <v>Delayed</v>
      </c>
      <c r="U830" t="s">
        <v>2922</v>
      </c>
    </row>
    <row r="831" spans="1:21" x14ac:dyDescent="0.25">
      <c r="A831" s="4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 s="6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1">
        <v>45694</v>
      </c>
      <c r="R831" s="1">
        <v>45702</v>
      </c>
      <c r="S831" s="14">
        <f>Sales[[#This Row],[DeliveryDate]]-Sales[[#This Row],[OrderDate]]</f>
        <v>8</v>
      </c>
      <c r="T831" s="14" t="str">
        <f>IF(Sales[[#This Row],[Delivery Days]]&lt;=$W$2, "Timely", "Delayed")</f>
        <v>Delayed</v>
      </c>
      <c r="U831" t="s">
        <v>2926</v>
      </c>
    </row>
    <row r="832" spans="1:21" x14ac:dyDescent="0.25">
      <c r="A832" s="4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 s="6">
        <v>479.17999999999989</v>
      </c>
      <c r="K832" t="s">
        <v>45</v>
      </c>
      <c r="L832" t="s">
        <v>2941</v>
      </c>
      <c r="M832">
        <v>0</v>
      </c>
      <c r="N832" t="s">
        <v>881</v>
      </c>
      <c r="O832" t="s">
        <v>2339</v>
      </c>
      <c r="P832">
        <v>31.31</v>
      </c>
      <c r="Q832" s="1">
        <v>45095</v>
      </c>
      <c r="R832" s="1">
        <v>45099</v>
      </c>
      <c r="S832" s="14">
        <f>Sales[[#This Row],[DeliveryDate]]-Sales[[#This Row],[OrderDate]]</f>
        <v>4</v>
      </c>
      <c r="T832" s="14" t="str">
        <f>IF(Sales[[#This Row],[Delivery Days]]&lt;=$W$2, "Timely", "Delayed")</f>
        <v>Timely</v>
      </c>
      <c r="U832" t="s">
        <v>2926</v>
      </c>
    </row>
    <row r="833" spans="1:21" x14ac:dyDescent="0.25">
      <c r="A833" s="4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 s="6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1">
        <v>45597</v>
      </c>
      <c r="R833" s="1">
        <v>45604</v>
      </c>
      <c r="S833" s="14">
        <f>Sales[[#This Row],[DeliveryDate]]-Sales[[#This Row],[OrderDate]]</f>
        <v>7</v>
      </c>
      <c r="T833" s="14" t="str">
        <f>IF(Sales[[#This Row],[Delivery Days]]&lt;=$W$2, "Timely", "Delayed")</f>
        <v>Delayed</v>
      </c>
      <c r="U833" t="s">
        <v>2924</v>
      </c>
    </row>
    <row r="834" spans="1:21" x14ac:dyDescent="0.25">
      <c r="A834" s="4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 s="6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1">
        <v>45516</v>
      </c>
      <c r="R834" s="1">
        <v>45525</v>
      </c>
      <c r="S834" s="14">
        <f>Sales[[#This Row],[DeliveryDate]]-Sales[[#This Row],[OrderDate]]</f>
        <v>9</v>
      </c>
      <c r="T834" s="14" t="str">
        <f>IF(Sales[[#This Row],[Delivery Days]]&lt;=$W$2, "Timely", "Delayed")</f>
        <v>Delayed</v>
      </c>
      <c r="U834" t="s">
        <v>2926</v>
      </c>
    </row>
    <row r="835" spans="1:21" x14ac:dyDescent="0.25">
      <c r="A835" s="4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 s="6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1">
        <v>45755</v>
      </c>
      <c r="R835" s="1">
        <v>45764</v>
      </c>
      <c r="S835" s="14">
        <f>Sales[[#This Row],[DeliveryDate]]-Sales[[#This Row],[OrderDate]]</f>
        <v>9</v>
      </c>
      <c r="T835" s="14" t="str">
        <f>IF(Sales[[#This Row],[Delivery Days]]&lt;=$W$2, "Timely", "Delayed")</f>
        <v>Delayed</v>
      </c>
      <c r="U835" t="s">
        <v>2925</v>
      </c>
    </row>
    <row r="836" spans="1:21" x14ac:dyDescent="0.25">
      <c r="A836" s="4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 s="6">
        <v>1524.424</v>
      </c>
      <c r="K836" t="s">
        <v>46</v>
      </c>
      <c r="L836" t="s">
        <v>2941</v>
      </c>
      <c r="M836">
        <v>0</v>
      </c>
      <c r="N836" t="s">
        <v>885</v>
      </c>
      <c r="O836" t="s">
        <v>2343</v>
      </c>
      <c r="P836">
        <v>36.9</v>
      </c>
      <c r="Q836" s="1">
        <v>45493</v>
      </c>
      <c r="R836" s="1">
        <v>45499</v>
      </c>
      <c r="S836" s="14">
        <f>Sales[[#This Row],[DeliveryDate]]-Sales[[#This Row],[OrderDate]]</f>
        <v>6</v>
      </c>
      <c r="T836" s="14" t="str">
        <f>IF(Sales[[#This Row],[Delivery Days]]&lt;=$W$2, "Timely", "Delayed")</f>
        <v>Timely</v>
      </c>
      <c r="U836" t="s">
        <v>2925</v>
      </c>
    </row>
    <row r="837" spans="1:21" x14ac:dyDescent="0.25">
      <c r="A837" s="4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 s="6">
        <v>1867.8330000000001</v>
      </c>
      <c r="K837" t="s">
        <v>47</v>
      </c>
      <c r="L837" t="s">
        <v>2941</v>
      </c>
      <c r="M837">
        <v>0</v>
      </c>
      <c r="N837" t="s">
        <v>886</v>
      </c>
      <c r="O837" t="s">
        <v>2344</v>
      </c>
      <c r="P837">
        <v>22.34</v>
      </c>
      <c r="Q837" s="1">
        <v>44974</v>
      </c>
      <c r="R837" s="1">
        <v>44978</v>
      </c>
      <c r="S837" s="14">
        <f>Sales[[#This Row],[DeliveryDate]]-Sales[[#This Row],[OrderDate]]</f>
        <v>4</v>
      </c>
      <c r="T837" s="14" t="str">
        <f>IF(Sales[[#This Row],[Delivery Days]]&lt;=$W$2, "Timely", "Delayed")</f>
        <v>Timely</v>
      </c>
      <c r="U837" t="s">
        <v>2926</v>
      </c>
    </row>
    <row r="838" spans="1:21" x14ac:dyDescent="0.25">
      <c r="A838" s="4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 s="6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1">
        <v>45475</v>
      </c>
      <c r="R838" s="1">
        <v>45477</v>
      </c>
      <c r="S838" s="14">
        <f>Sales[[#This Row],[DeliveryDate]]-Sales[[#This Row],[OrderDate]]</f>
        <v>2</v>
      </c>
      <c r="T838" s="14" t="str">
        <f>IF(Sales[[#This Row],[Delivery Days]]&lt;=$W$2, "Timely", "Delayed")</f>
        <v>Timely</v>
      </c>
      <c r="U838" t="s">
        <v>2922</v>
      </c>
    </row>
    <row r="839" spans="1:21" x14ac:dyDescent="0.25">
      <c r="A839" s="4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 s="6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1">
        <v>45748</v>
      </c>
      <c r="R839" s="1">
        <v>45751</v>
      </c>
      <c r="S839" s="14">
        <f>Sales[[#This Row],[DeliveryDate]]-Sales[[#This Row],[OrderDate]]</f>
        <v>3</v>
      </c>
      <c r="T839" s="14" t="str">
        <f>IF(Sales[[#This Row],[Delivery Days]]&lt;=$W$2, "Timely", "Delayed")</f>
        <v>Timely</v>
      </c>
      <c r="U839" t="s">
        <v>2924</v>
      </c>
    </row>
    <row r="840" spans="1:21" x14ac:dyDescent="0.25">
      <c r="A840" s="4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 s="6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1">
        <v>45810</v>
      </c>
      <c r="R840" s="1">
        <v>45817</v>
      </c>
      <c r="S840" s="14">
        <f>Sales[[#This Row],[DeliveryDate]]-Sales[[#This Row],[OrderDate]]</f>
        <v>7</v>
      </c>
      <c r="T840" s="14" t="str">
        <f>IF(Sales[[#This Row],[Delivery Days]]&lt;=$W$2, "Timely", "Delayed")</f>
        <v>Delayed</v>
      </c>
      <c r="U840" t="s">
        <v>2923</v>
      </c>
    </row>
    <row r="841" spans="1:21" x14ac:dyDescent="0.25">
      <c r="A841" s="4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 s="6">
        <v>346.45</v>
      </c>
      <c r="K841" t="s">
        <v>45</v>
      </c>
      <c r="L841" t="s">
        <v>2941</v>
      </c>
      <c r="M841">
        <v>0</v>
      </c>
      <c r="N841" t="s">
        <v>890</v>
      </c>
      <c r="O841" t="s">
        <v>2348</v>
      </c>
      <c r="P841">
        <v>20.83</v>
      </c>
      <c r="Q841" s="1">
        <v>45617</v>
      </c>
      <c r="R841" s="1">
        <v>45625</v>
      </c>
      <c r="S841" s="14">
        <f>Sales[[#This Row],[DeliveryDate]]-Sales[[#This Row],[OrderDate]]</f>
        <v>8</v>
      </c>
      <c r="T841" s="14" t="str">
        <f>IF(Sales[[#This Row],[Delivery Days]]&lt;=$W$2, "Timely", "Delayed")</f>
        <v>Delayed</v>
      </c>
      <c r="U841" t="s">
        <v>2926</v>
      </c>
    </row>
    <row r="842" spans="1:21" x14ac:dyDescent="0.25">
      <c r="A842" s="4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 s="6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1">
        <v>45301</v>
      </c>
      <c r="R842" s="1">
        <v>45305</v>
      </c>
      <c r="S842" s="14">
        <f>Sales[[#This Row],[DeliveryDate]]-Sales[[#This Row],[OrderDate]]</f>
        <v>4</v>
      </c>
      <c r="T842" s="14" t="str">
        <f>IF(Sales[[#This Row],[Delivery Days]]&lt;=$W$2, "Timely", "Delayed")</f>
        <v>Timely</v>
      </c>
      <c r="U842" t="s">
        <v>2923</v>
      </c>
    </row>
    <row r="843" spans="1:21" x14ac:dyDescent="0.25">
      <c r="A843" s="4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 s="6">
        <v>1327.02</v>
      </c>
      <c r="K843" t="s">
        <v>46</v>
      </c>
      <c r="L843" t="s">
        <v>2941</v>
      </c>
      <c r="M843">
        <v>0</v>
      </c>
      <c r="N843" t="s">
        <v>892</v>
      </c>
      <c r="O843" t="s">
        <v>2350</v>
      </c>
      <c r="P843">
        <v>43.56</v>
      </c>
      <c r="Q843" s="1">
        <v>45220</v>
      </c>
      <c r="R843" s="1">
        <v>45225</v>
      </c>
      <c r="S843" s="14">
        <f>Sales[[#This Row],[DeliveryDate]]-Sales[[#This Row],[OrderDate]]</f>
        <v>5</v>
      </c>
      <c r="T843" s="14" t="str">
        <f>IF(Sales[[#This Row],[Delivery Days]]&lt;=$W$2, "Timely", "Delayed")</f>
        <v>Timely</v>
      </c>
      <c r="U843" t="s">
        <v>2924</v>
      </c>
    </row>
    <row r="844" spans="1:21" x14ac:dyDescent="0.25">
      <c r="A844" s="4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 s="6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1">
        <v>45677</v>
      </c>
      <c r="R844" s="1">
        <v>45679</v>
      </c>
      <c r="S844" s="14">
        <f>Sales[[#This Row],[DeliveryDate]]-Sales[[#This Row],[OrderDate]]</f>
        <v>2</v>
      </c>
      <c r="T844" s="14" t="str">
        <f>IF(Sales[[#This Row],[Delivery Days]]&lt;=$W$2, "Timely", "Delayed")</f>
        <v>Timely</v>
      </c>
      <c r="U844" t="s">
        <v>2924</v>
      </c>
    </row>
    <row r="845" spans="1:21" x14ac:dyDescent="0.25">
      <c r="A845" s="4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 s="6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1">
        <v>45605</v>
      </c>
      <c r="R845" s="1">
        <v>45613</v>
      </c>
      <c r="S845" s="14">
        <f>Sales[[#This Row],[DeliveryDate]]-Sales[[#This Row],[OrderDate]]</f>
        <v>8</v>
      </c>
      <c r="T845" s="14" t="str">
        <f>IF(Sales[[#This Row],[Delivery Days]]&lt;=$W$2, "Timely", "Delayed")</f>
        <v>Delayed</v>
      </c>
      <c r="U845" t="s">
        <v>2926</v>
      </c>
    </row>
    <row r="846" spans="1:21" x14ac:dyDescent="0.25">
      <c r="A846" s="4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 s="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1">
        <v>45385</v>
      </c>
      <c r="R846" s="1">
        <v>45389</v>
      </c>
      <c r="S846" s="14">
        <f>Sales[[#This Row],[DeliveryDate]]-Sales[[#This Row],[OrderDate]]</f>
        <v>4</v>
      </c>
      <c r="T846" s="14" t="str">
        <f>IF(Sales[[#This Row],[Delivery Days]]&lt;=$W$2, "Timely", "Delayed")</f>
        <v>Timely</v>
      </c>
      <c r="U846" t="s">
        <v>2926</v>
      </c>
    </row>
    <row r="847" spans="1:21" x14ac:dyDescent="0.25">
      <c r="A847" s="4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 s="6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1">
        <v>45297</v>
      </c>
      <c r="R847" s="1">
        <v>45299</v>
      </c>
      <c r="S847" s="14">
        <f>Sales[[#This Row],[DeliveryDate]]-Sales[[#This Row],[OrderDate]]</f>
        <v>2</v>
      </c>
      <c r="T847" s="14" t="str">
        <f>IF(Sales[[#This Row],[Delivery Days]]&lt;=$W$2, "Timely", "Delayed")</f>
        <v>Timely</v>
      </c>
      <c r="U847" t="s">
        <v>2924</v>
      </c>
    </row>
    <row r="848" spans="1:21" x14ac:dyDescent="0.25">
      <c r="A848" s="4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 s="6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1">
        <v>45140</v>
      </c>
      <c r="R848" s="1">
        <v>45143</v>
      </c>
      <c r="S848" s="14">
        <f>Sales[[#This Row],[DeliveryDate]]-Sales[[#This Row],[OrderDate]]</f>
        <v>3</v>
      </c>
      <c r="T848" s="14" t="str">
        <f>IF(Sales[[#This Row],[Delivery Days]]&lt;=$W$2, "Timely", "Delayed")</f>
        <v>Timely</v>
      </c>
      <c r="U848" t="s">
        <v>2925</v>
      </c>
    </row>
    <row r="849" spans="1:21" x14ac:dyDescent="0.25">
      <c r="A849" s="4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 s="6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1">
        <v>45256</v>
      </c>
      <c r="R849" s="1">
        <v>45261</v>
      </c>
      <c r="S849" s="14">
        <f>Sales[[#This Row],[DeliveryDate]]-Sales[[#This Row],[OrderDate]]</f>
        <v>5</v>
      </c>
      <c r="T849" s="14" t="str">
        <f>IF(Sales[[#This Row],[Delivery Days]]&lt;=$W$2, "Timely", "Delayed")</f>
        <v>Timely</v>
      </c>
      <c r="U849" t="s">
        <v>2924</v>
      </c>
    </row>
    <row r="850" spans="1:21" x14ac:dyDescent="0.25">
      <c r="A850" s="4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 s="6">
        <v>7578.3874999999998</v>
      </c>
      <c r="K850" t="s">
        <v>45</v>
      </c>
      <c r="L850" t="s">
        <v>2941</v>
      </c>
      <c r="M850">
        <v>0</v>
      </c>
      <c r="N850" t="s">
        <v>899</v>
      </c>
      <c r="O850" t="s">
        <v>2357</v>
      </c>
      <c r="P850">
        <v>45.76</v>
      </c>
      <c r="Q850" s="1">
        <v>45767</v>
      </c>
      <c r="R850" s="1">
        <v>45773</v>
      </c>
      <c r="S850" s="14">
        <f>Sales[[#This Row],[DeliveryDate]]-Sales[[#This Row],[OrderDate]]</f>
        <v>6</v>
      </c>
      <c r="T850" s="14" t="str">
        <f>IF(Sales[[#This Row],[Delivery Days]]&lt;=$W$2, "Timely", "Delayed")</f>
        <v>Timely</v>
      </c>
      <c r="U850" t="s">
        <v>2922</v>
      </c>
    </row>
    <row r="851" spans="1:21" x14ac:dyDescent="0.25">
      <c r="A851" s="4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 s="6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1">
        <v>45289</v>
      </c>
      <c r="R851" s="1">
        <v>45296</v>
      </c>
      <c r="S851" s="14">
        <f>Sales[[#This Row],[DeliveryDate]]-Sales[[#This Row],[OrderDate]]</f>
        <v>7</v>
      </c>
      <c r="T851" s="14" t="str">
        <f>IF(Sales[[#This Row],[Delivery Days]]&lt;=$W$2, "Timely", "Delayed")</f>
        <v>Delayed</v>
      </c>
      <c r="U851" t="s">
        <v>2923</v>
      </c>
    </row>
    <row r="852" spans="1:21" x14ac:dyDescent="0.25">
      <c r="A852" s="4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 s="6">
        <v>8398.1234999999997</v>
      </c>
      <c r="K852" t="s">
        <v>45</v>
      </c>
      <c r="L852" t="s">
        <v>2941</v>
      </c>
      <c r="M852">
        <v>0</v>
      </c>
      <c r="N852" t="s">
        <v>901</v>
      </c>
      <c r="O852" t="s">
        <v>2359</v>
      </c>
      <c r="P852">
        <v>44.95</v>
      </c>
      <c r="Q852" s="1">
        <v>45665</v>
      </c>
      <c r="R852" s="1">
        <v>45667</v>
      </c>
      <c r="S852" s="14">
        <f>Sales[[#This Row],[DeliveryDate]]-Sales[[#This Row],[OrderDate]]</f>
        <v>2</v>
      </c>
      <c r="T852" s="14" t="str">
        <f>IF(Sales[[#This Row],[Delivery Days]]&lt;=$W$2, "Timely", "Delayed")</f>
        <v>Timely</v>
      </c>
      <c r="U852" t="s">
        <v>2925</v>
      </c>
    </row>
    <row r="853" spans="1:21" x14ac:dyDescent="0.25">
      <c r="A853" s="4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 s="6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1">
        <v>45418</v>
      </c>
      <c r="R853" s="1">
        <v>45426</v>
      </c>
      <c r="S853" s="14">
        <f>Sales[[#This Row],[DeliveryDate]]-Sales[[#This Row],[OrderDate]]</f>
        <v>8</v>
      </c>
      <c r="T853" s="14" t="str">
        <f>IF(Sales[[#This Row],[Delivery Days]]&lt;=$W$2, "Timely", "Delayed")</f>
        <v>Delayed</v>
      </c>
      <c r="U853" t="s">
        <v>2922</v>
      </c>
    </row>
    <row r="854" spans="1:21" x14ac:dyDescent="0.25">
      <c r="A854" s="4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 s="6">
        <v>6284.3829999999989</v>
      </c>
      <c r="K854" t="s">
        <v>44</v>
      </c>
      <c r="L854" t="s">
        <v>2941</v>
      </c>
      <c r="M854">
        <v>0</v>
      </c>
      <c r="N854" t="s">
        <v>903</v>
      </c>
      <c r="O854" t="s">
        <v>2361</v>
      </c>
      <c r="P854">
        <v>13.54</v>
      </c>
      <c r="Q854" s="1">
        <v>45550</v>
      </c>
      <c r="R854" s="1">
        <v>45555</v>
      </c>
      <c r="S854" s="14">
        <f>Sales[[#This Row],[DeliveryDate]]-Sales[[#This Row],[OrderDate]]</f>
        <v>5</v>
      </c>
      <c r="T854" s="14" t="str">
        <f>IF(Sales[[#This Row],[Delivery Days]]&lt;=$W$2, "Timely", "Delayed")</f>
        <v>Timely</v>
      </c>
      <c r="U854" t="s">
        <v>2924</v>
      </c>
    </row>
    <row r="855" spans="1:21" x14ac:dyDescent="0.25">
      <c r="A855" s="4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 s="6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1">
        <v>44964</v>
      </c>
      <c r="R855" s="1">
        <v>44969</v>
      </c>
      <c r="S855" s="14">
        <f>Sales[[#This Row],[DeliveryDate]]-Sales[[#This Row],[OrderDate]]</f>
        <v>5</v>
      </c>
      <c r="T855" s="14" t="str">
        <f>IF(Sales[[#This Row],[Delivery Days]]&lt;=$W$2, "Timely", "Delayed")</f>
        <v>Timely</v>
      </c>
      <c r="U855" t="s">
        <v>2926</v>
      </c>
    </row>
    <row r="856" spans="1:21" x14ac:dyDescent="0.25">
      <c r="A856" s="4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 s="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1">
        <v>44986</v>
      </c>
      <c r="R856" s="1">
        <v>44994</v>
      </c>
      <c r="S856" s="14">
        <f>Sales[[#This Row],[DeliveryDate]]-Sales[[#This Row],[OrderDate]]</f>
        <v>8</v>
      </c>
      <c r="T856" s="14" t="str">
        <f>IF(Sales[[#This Row],[Delivery Days]]&lt;=$W$2, "Timely", "Delayed")</f>
        <v>Delayed</v>
      </c>
      <c r="U856" t="s">
        <v>2922</v>
      </c>
    </row>
    <row r="857" spans="1:21" x14ac:dyDescent="0.25">
      <c r="A857" s="4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 s="6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1">
        <v>45420</v>
      </c>
      <c r="R857" s="1">
        <v>45424</v>
      </c>
      <c r="S857" s="14">
        <f>Sales[[#This Row],[DeliveryDate]]-Sales[[#This Row],[OrderDate]]</f>
        <v>4</v>
      </c>
      <c r="T857" s="14" t="str">
        <f>IF(Sales[[#This Row],[Delivery Days]]&lt;=$W$2, "Timely", "Delayed")</f>
        <v>Timely</v>
      </c>
      <c r="U857" t="s">
        <v>2924</v>
      </c>
    </row>
    <row r="858" spans="1:21" x14ac:dyDescent="0.25">
      <c r="A858" s="4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 s="6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1">
        <v>45449</v>
      </c>
      <c r="R858" s="1">
        <v>45451</v>
      </c>
      <c r="S858" s="14">
        <f>Sales[[#This Row],[DeliveryDate]]-Sales[[#This Row],[OrderDate]]</f>
        <v>2</v>
      </c>
      <c r="T858" s="14" t="str">
        <f>IF(Sales[[#This Row],[Delivery Days]]&lt;=$W$2, "Timely", "Delayed")</f>
        <v>Timely</v>
      </c>
      <c r="U858" t="s">
        <v>2922</v>
      </c>
    </row>
    <row r="859" spans="1:21" x14ac:dyDescent="0.25">
      <c r="A859" s="4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 s="6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1">
        <v>45045</v>
      </c>
      <c r="R859" s="1">
        <v>45054</v>
      </c>
      <c r="S859" s="14">
        <f>Sales[[#This Row],[DeliveryDate]]-Sales[[#This Row],[OrderDate]]</f>
        <v>9</v>
      </c>
      <c r="T859" s="14" t="str">
        <f>IF(Sales[[#This Row],[Delivery Days]]&lt;=$W$2, "Timely", "Delayed")</f>
        <v>Delayed</v>
      </c>
      <c r="U859" t="s">
        <v>2924</v>
      </c>
    </row>
    <row r="860" spans="1:21" x14ac:dyDescent="0.25">
      <c r="A860" s="4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 s="6">
        <v>5032.4445000000014</v>
      </c>
      <c r="K860" t="s">
        <v>43</v>
      </c>
      <c r="L860" t="s">
        <v>2941</v>
      </c>
      <c r="M860">
        <v>0</v>
      </c>
      <c r="N860" t="s">
        <v>909</v>
      </c>
      <c r="O860" t="s">
        <v>2366</v>
      </c>
      <c r="P860">
        <v>42.3</v>
      </c>
      <c r="Q860" s="1">
        <v>45189</v>
      </c>
      <c r="R860" s="1">
        <v>45191</v>
      </c>
      <c r="S860" s="14">
        <f>Sales[[#This Row],[DeliveryDate]]-Sales[[#This Row],[OrderDate]]</f>
        <v>2</v>
      </c>
      <c r="T860" s="14" t="str">
        <f>IF(Sales[[#This Row],[Delivery Days]]&lt;=$W$2, "Timely", "Delayed")</f>
        <v>Timely</v>
      </c>
      <c r="U860" t="s">
        <v>2925</v>
      </c>
    </row>
    <row r="861" spans="1:21" x14ac:dyDescent="0.25">
      <c r="A861" s="4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 s="6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1">
        <v>45604</v>
      </c>
      <c r="R861" s="1">
        <v>45609</v>
      </c>
      <c r="S861" s="14">
        <f>Sales[[#This Row],[DeliveryDate]]-Sales[[#This Row],[OrderDate]]</f>
        <v>5</v>
      </c>
      <c r="T861" s="14" t="str">
        <f>IF(Sales[[#This Row],[Delivery Days]]&lt;=$W$2, "Timely", "Delayed")</f>
        <v>Timely</v>
      </c>
      <c r="U861" t="s">
        <v>2923</v>
      </c>
    </row>
    <row r="862" spans="1:21" x14ac:dyDescent="0.25">
      <c r="A862" s="4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 s="6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1">
        <v>45007</v>
      </c>
      <c r="R862" s="1">
        <v>45015</v>
      </c>
      <c r="S862" s="14">
        <f>Sales[[#This Row],[DeliveryDate]]-Sales[[#This Row],[OrderDate]]</f>
        <v>8</v>
      </c>
      <c r="T862" s="14" t="str">
        <f>IF(Sales[[#This Row],[Delivery Days]]&lt;=$W$2, "Timely", "Delayed")</f>
        <v>Delayed</v>
      </c>
      <c r="U862" t="s">
        <v>2924</v>
      </c>
    </row>
    <row r="863" spans="1:21" x14ac:dyDescent="0.25">
      <c r="A863" s="4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 s="6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1">
        <v>45174</v>
      </c>
      <c r="R863" s="1">
        <v>45182</v>
      </c>
      <c r="S863" s="14">
        <f>Sales[[#This Row],[DeliveryDate]]-Sales[[#This Row],[OrderDate]]</f>
        <v>8</v>
      </c>
      <c r="T863" s="14" t="str">
        <f>IF(Sales[[#This Row],[Delivery Days]]&lt;=$W$2, "Timely", "Delayed")</f>
        <v>Delayed</v>
      </c>
      <c r="U863" t="s">
        <v>2922</v>
      </c>
    </row>
    <row r="864" spans="1:21" x14ac:dyDescent="0.25">
      <c r="A864" s="4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 s="6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1">
        <v>44983</v>
      </c>
      <c r="R864" s="1">
        <v>44990</v>
      </c>
      <c r="S864" s="14">
        <f>Sales[[#This Row],[DeliveryDate]]-Sales[[#This Row],[OrderDate]]</f>
        <v>7</v>
      </c>
      <c r="T864" s="14" t="str">
        <f>IF(Sales[[#This Row],[Delivery Days]]&lt;=$W$2, "Timely", "Delayed")</f>
        <v>Delayed</v>
      </c>
      <c r="U864" t="s">
        <v>2922</v>
      </c>
    </row>
    <row r="865" spans="1:21" x14ac:dyDescent="0.25">
      <c r="A865" s="4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 s="6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1">
        <v>45622</v>
      </c>
      <c r="R865" s="1">
        <v>45625</v>
      </c>
      <c r="S865" s="14">
        <f>Sales[[#This Row],[DeliveryDate]]-Sales[[#This Row],[OrderDate]]</f>
        <v>3</v>
      </c>
      <c r="T865" s="14" t="str">
        <f>IF(Sales[[#This Row],[Delivery Days]]&lt;=$W$2, "Timely", "Delayed")</f>
        <v>Timely</v>
      </c>
      <c r="U865" t="s">
        <v>2926</v>
      </c>
    </row>
    <row r="866" spans="1:21" x14ac:dyDescent="0.25">
      <c r="A866" s="4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 s="6">
        <v>1174.8900000000001</v>
      </c>
      <c r="K866" t="s">
        <v>46</v>
      </c>
      <c r="L866" t="s">
        <v>2941</v>
      </c>
      <c r="M866">
        <v>1</v>
      </c>
      <c r="N866" t="s">
        <v>915</v>
      </c>
      <c r="O866" t="s">
        <v>2372</v>
      </c>
      <c r="P866">
        <v>25.36</v>
      </c>
      <c r="Q866" s="1">
        <v>45579</v>
      </c>
      <c r="R866" s="1">
        <v>45582</v>
      </c>
      <c r="S866" s="14">
        <f>Sales[[#This Row],[DeliveryDate]]-Sales[[#This Row],[OrderDate]]</f>
        <v>3</v>
      </c>
      <c r="T866" s="14" t="str">
        <f>IF(Sales[[#This Row],[Delivery Days]]&lt;=$W$2, "Timely", "Delayed")</f>
        <v>Timely</v>
      </c>
      <c r="U866" t="s">
        <v>2925</v>
      </c>
    </row>
    <row r="867" spans="1:21" x14ac:dyDescent="0.25">
      <c r="A867" s="4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 s="6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1">
        <v>45075</v>
      </c>
      <c r="R867" s="1">
        <v>45080</v>
      </c>
      <c r="S867" s="14">
        <f>Sales[[#This Row],[DeliveryDate]]-Sales[[#This Row],[OrderDate]]</f>
        <v>5</v>
      </c>
      <c r="T867" s="14" t="str">
        <f>IF(Sales[[#This Row],[Delivery Days]]&lt;=$W$2, "Timely", "Delayed")</f>
        <v>Timely</v>
      </c>
      <c r="U867" t="s">
        <v>2925</v>
      </c>
    </row>
    <row r="868" spans="1:21" x14ac:dyDescent="0.25">
      <c r="A868" s="4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 s="6">
        <v>2314.6860000000001</v>
      </c>
      <c r="K868" t="s">
        <v>45</v>
      </c>
      <c r="L868" t="s">
        <v>2941</v>
      </c>
      <c r="M868">
        <v>0</v>
      </c>
      <c r="N868" t="s">
        <v>917</v>
      </c>
      <c r="O868" t="s">
        <v>2374</v>
      </c>
      <c r="P868">
        <v>45.32</v>
      </c>
      <c r="Q868" s="1">
        <v>45373</v>
      </c>
      <c r="R868" s="1">
        <v>45382</v>
      </c>
      <c r="S868" s="14">
        <f>Sales[[#This Row],[DeliveryDate]]-Sales[[#This Row],[OrderDate]]</f>
        <v>9</v>
      </c>
      <c r="T868" s="14" t="str">
        <f>IF(Sales[[#This Row],[Delivery Days]]&lt;=$W$2, "Timely", "Delayed")</f>
        <v>Delayed</v>
      </c>
      <c r="U868" t="s">
        <v>2925</v>
      </c>
    </row>
    <row r="869" spans="1:21" x14ac:dyDescent="0.25">
      <c r="A869" s="4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 s="6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1">
        <v>45038</v>
      </c>
      <c r="R869" s="1">
        <v>45048</v>
      </c>
      <c r="S869" s="14">
        <f>Sales[[#This Row],[DeliveryDate]]-Sales[[#This Row],[OrderDate]]</f>
        <v>10</v>
      </c>
      <c r="T869" s="14" t="str">
        <f>IF(Sales[[#This Row],[Delivery Days]]&lt;=$W$2, "Timely", "Delayed")</f>
        <v>Delayed</v>
      </c>
      <c r="U869" t="s">
        <v>2923</v>
      </c>
    </row>
    <row r="870" spans="1:21" x14ac:dyDescent="0.25">
      <c r="A870" s="4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 s="6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1">
        <v>45814</v>
      </c>
      <c r="R870" s="1">
        <v>45820</v>
      </c>
      <c r="S870" s="14">
        <f>Sales[[#This Row],[DeliveryDate]]-Sales[[#This Row],[OrderDate]]</f>
        <v>6</v>
      </c>
      <c r="T870" s="14" t="str">
        <f>IF(Sales[[#This Row],[Delivery Days]]&lt;=$W$2, "Timely", "Delayed")</f>
        <v>Timely</v>
      </c>
      <c r="U870" t="s">
        <v>2924</v>
      </c>
    </row>
    <row r="871" spans="1:21" x14ac:dyDescent="0.25">
      <c r="A871" s="4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 s="6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1">
        <v>44951</v>
      </c>
      <c r="R871" s="1">
        <v>44955</v>
      </c>
      <c r="S871" s="14">
        <f>Sales[[#This Row],[DeliveryDate]]-Sales[[#This Row],[OrderDate]]</f>
        <v>4</v>
      </c>
      <c r="T871" s="14" t="str">
        <f>IF(Sales[[#This Row],[Delivery Days]]&lt;=$W$2, "Timely", "Delayed")</f>
        <v>Timely</v>
      </c>
      <c r="U871" t="s">
        <v>2925</v>
      </c>
    </row>
    <row r="872" spans="1:21" x14ac:dyDescent="0.25">
      <c r="A872" s="4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 s="6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1">
        <v>45177</v>
      </c>
      <c r="R872" s="1">
        <v>45179</v>
      </c>
      <c r="S872" s="14">
        <f>Sales[[#This Row],[DeliveryDate]]-Sales[[#This Row],[OrderDate]]</f>
        <v>2</v>
      </c>
      <c r="T872" s="14" t="str">
        <f>IF(Sales[[#This Row],[Delivery Days]]&lt;=$W$2, "Timely", "Delayed")</f>
        <v>Timely</v>
      </c>
      <c r="U872" t="s">
        <v>2923</v>
      </c>
    </row>
    <row r="873" spans="1:21" x14ac:dyDescent="0.25">
      <c r="A873" s="4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 s="6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1">
        <v>45569</v>
      </c>
      <c r="R873" s="1">
        <v>45576</v>
      </c>
      <c r="S873" s="14">
        <f>Sales[[#This Row],[DeliveryDate]]-Sales[[#This Row],[OrderDate]]</f>
        <v>7</v>
      </c>
      <c r="T873" s="14" t="str">
        <f>IF(Sales[[#This Row],[Delivery Days]]&lt;=$W$2, "Timely", "Delayed")</f>
        <v>Delayed</v>
      </c>
      <c r="U873" t="s">
        <v>2922</v>
      </c>
    </row>
    <row r="874" spans="1:21" x14ac:dyDescent="0.25">
      <c r="A874" s="4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 s="6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1">
        <v>45753</v>
      </c>
      <c r="R874" s="1">
        <v>45755</v>
      </c>
      <c r="S874" s="14">
        <f>Sales[[#This Row],[DeliveryDate]]-Sales[[#This Row],[OrderDate]]</f>
        <v>2</v>
      </c>
      <c r="T874" s="14" t="str">
        <f>IF(Sales[[#This Row],[Delivery Days]]&lt;=$W$2, "Timely", "Delayed")</f>
        <v>Timely</v>
      </c>
      <c r="U874" t="s">
        <v>2922</v>
      </c>
    </row>
    <row r="875" spans="1:21" x14ac:dyDescent="0.25">
      <c r="A875" s="4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 s="6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1">
        <v>45529</v>
      </c>
      <c r="R875" s="1">
        <v>45533</v>
      </c>
      <c r="S875" s="14">
        <f>Sales[[#This Row],[DeliveryDate]]-Sales[[#This Row],[OrderDate]]</f>
        <v>4</v>
      </c>
      <c r="T875" s="14" t="str">
        <f>IF(Sales[[#This Row],[Delivery Days]]&lt;=$W$2, "Timely", "Delayed")</f>
        <v>Timely</v>
      </c>
      <c r="U875" t="s">
        <v>2922</v>
      </c>
    </row>
    <row r="876" spans="1:21" x14ac:dyDescent="0.25">
      <c r="A876" s="4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 s="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1">
        <v>45357</v>
      </c>
      <c r="R876" s="1">
        <v>45363</v>
      </c>
      <c r="S876" s="14">
        <f>Sales[[#This Row],[DeliveryDate]]-Sales[[#This Row],[OrderDate]]</f>
        <v>6</v>
      </c>
      <c r="T876" s="14" t="str">
        <f>IF(Sales[[#This Row],[Delivery Days]]&lt;=$W$2, "Timely", "Delayed")</f>
        <v>Timely</v>
      </c>
      <c r="U876" t="s">
        <v>2924</v>
      </c>
    </row>
    <row r="877" spans="1:21" x14ac:dyDescent="0.25">
      <c r="A877" s="4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 s="6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1">
        <v>45008</v>
      </c>
      <c r="R877" s="1">
        <v>45011</v>
      </c>
      <c r="S877" s="14">
        <f>Sales[[#This Row],[DeliveryDate]]-Sales[[#This Row],[OrderDate]]</f>
        <v>3</v>
      </c>
      <c r="T877" s="14" t="str">
        <f>IF(Sales[[#This Row],[Delivery Days]]&lt;=$W$2, "Timely", "Delayed")</f>
        <v>Timely</v>
      </c>
      <c r="U877" t="s">
        <v>2922</v>
      </c>
    </row>
    <row r="878" spans="1:21" x14ac:dyDescent="0.25">
      <c r="A878" s="4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 s="6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1">
        <v>45304</v>
      </c>
      <c r="R878" s="1">
        <v>45308</v>
      </c>
      <c r="S878" s="14">
        <f>Sales[[#This Row],[DeliveryDate]]-Sales[[#This Row],[OrderDate]]</f>
        <v>4</v>
      </c>
      <c r="T878" s="14" t="str">
        <f>IF(Sales[[#This Row],[Delivery Days]]&lt;=$W$2, "Timely", "Delayed")</f>
        <v>Timely</v>
      </c>
      <c r="U878" t="s">
        <v>2925</v>
      </c>
    </row>
    <row r="879" spans="1:21" x14ac:dyDescent="0.25">
      <c r="A879" s="4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 s="6">
        <v>2161.65</v>
      </c>
      <c r="K879" t="s">
        <v>44</v>
      </c>
      <c r="L879" t="s">
        <v>2941</v>
      </c>
      <c r="M879">
        <v>0</v>
      </c>
      <c r="N879" t="s">
        <v>928</v>
      </c>
      <c r="O879" t="s">
        <v>2384</v>
      </c>
      <c r="P879">
        <v>28.51</v>
      </c>
      <c r="Q879" s="1">
        <v>45125</v>
      </c>
      <c r="R879" s="1">
        <v>45131</v>
      </c>
      <c r="S879" s="14">
        <f>Sales[[#This Row],[DeliveryDate]]-Sales[[#This Row],[OrderDate]]</f>
        <v>6</v>
      </c>
      <c r="T879" s="14" t="str">
        <f>IF(Sales[[#This Row],[Delivery Days]]&lt;=$W$2, "Timely", "Delayed")</f>
        <v>Timely</v>
      </c>
      <c r="U879" t="s">
        <v>2925</v>
      </c>
    </row>
    <row r="880" spans="1:21" x14ac:dyDescent="0.25">
      <c r="A880" s="4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 s="6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1">
        <v>45711</v>
      </c>
      <c r="R880" s="1">
        <v>45720</v>
      </c>
      <c r="S880" s="14">
        <f>Sales[[#This Row],[DeliveryDate]]-Sales[[#This Row],[OrderDate]]</f>
        <v>9</v>
      </c>
      <c r="T880" s="14" t="str">
        <f>IF(Sales[[#This Row],[Delivery Days]]&lt;=$W$2, "Timely", "Delayed")</f>
        <v>Delayed</v>
      </c>
      <c r="U880" t="s">
        <v>2926</v>
      </c>
    </row>
    <row r="881" spans="1:21" x14ac:dyDescent="0.25">
      <c r="A881" s="4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 s="6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1">
        <v>44979</v>
      </c>
      <c r="R881" s="1">
        <v>44987</v>
      </c>
      <c r="S881" s="14">
        <f>Sales[[#This Row],[DeliveryDate]]-Sales[[#This Row],[OrderDate]]</f>
        <v>8</v>
      </c>
      <c r="T881" s="14" t="str">
        <f>IF(Sales[[#This Row],[Delivery Days]]&lt;=$W$2, "Timely", "Delayed")</f>
        <v>Delayed</v>
      </c>
      <c r="U881" t="s">
        <v>2922</v>
      </c>
    </row>
    <row r="882" spans="1:21" x14ac:dyDescent="0.25">
      <c r="A882" s="4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 s="6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1">
        <v>45583</v>
      </c>
      <c r="R882" s="1">
        <v>45593</v>
      </c>
      <c r="S882" s="14">
        <f>Sales[[#This Row],[DeliveryDate]]-Sales[[#This Row],[OrderDate]]</f>
        <v>10</v>
      </c>
      <c r="T882" s="14" t="str">
        <f>IF(Sales[[#This Row],[Delivery Days]]&lt;=$W$2, "Timely", "Delayed")</f>
        <v>Delayed</v>
      </c>
      <c r="U882" t="s">
        <v>2924</v>
      </c>
    </row>
    <row r="883" spans="1:21" x14ac:dyDescent="0.25">
      <c r="A883" s="4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 s="6">
        <v>1076.616</v>
      </c>
      <c r="K883" t="s">
        <v>44</v>
      </c>
      <c r="L883" t="s">
        <v>2941</v>
      </c>
      <c r="M883">
        <v>0</v>
      </c>
      <c r="N883" t="s">
        <v>932</v>
      </c>
      <c r="O883" t="s">
        <v>2388</v>
      </c>
      <c r="P883">
        <v>5.05</v>
      </c>
      <c r="Q883" s="1">
        <v>45225</v>
      </c>
      <c r="R883" s="1">
        <v>45230</v>
      </c>
      <c r="S883" s="14">
        <f>Sales[[#This Row],[DeliveryDate]]-Sales[[#This Row],[OrderDate]]</f>
        <v>5</v>
      </c>
      <c r="T883" s="14" t="str">
        <f>IF(Sales[[#This Row],[Delivery Days]]&lt;=$W$2, "Timely", "Delayed")</f>
        <v>Timely</v>
      </c>
      <c r="U883" t="s">
        <v>2926</v>
      </c>
    </row>
    <row r="884" spans="1:21" x14ac:dyDescent="0.25">
      <c r="A884" s="4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 s="6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1">
        <v>44936</v>
      </c>
      <c r="R884" s="1">
        <v>44940</v>
      </c>
      <c r="S884" s="14">
        <f>Sales[[#This Row],[DeliveryDate]]-Sales[[#This Row],[OrderDate]]</f>
        <v>4</v>
      </c>
      <c r="T884" s="14" t="str">
        <f>IF(Sales[[#This Row],[Delivery Days]]&lt;=$W$2, "Timely", "Delayed")</f>
        <v>Timely</v>
      </c>
      <c r="U884" t="s">
        <v>2925</v>
      </c>
    </row>
    <row r="885" spans="1:21" x14ac:dyDescent="0.25">
      <c r="A885" s="4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 s="6">
        <v>177.57</v>
      </c>
      <c r="K885" t="s">
        <v>46</v>
      </c>
      <c r="L885" t="s">
        <v>2941</v>
      </c>
      <c r="M885">
        <v>0</v>
      </c>
      <c r="N885" t="s">
        <v>934</v>
      </c>
      <c r="O885" t="s">
        <v>2389</v>
      </c>
      <c r="P885">
        <v>16.059999999999999</v>
      </c>
      <c r="Q885" s="1">
        <v>45370</v>
      </c>
      <c r="R885" s="1">
        <v>45373</v>
      </c>
      <c r="S885" s="14">
        <f>Sales[[#This Row],[DeliveryDate]]-Sales[[#This Row],[OrderDate]]</f>
        <v>3</v>
      </c>
      <c r="T885" s="14" t="str">
        <f>IF(Sales[[#This Row],[Delivery Days]]&lt;=$W$2, "Timely", "Delayed")</f>
        <v>Timely</v>
      </c>
      <c r="U885" t="s">
        <v>2925</v>
      </c>
    </row>
    <row r="886" spans="1:21" x14ac:dyDescent="0.25">
      <c r="A886" s="4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 s="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1">
        <v>45280</v>
      </c>
      <c r="R886" s="1">
        <v>45286</v>
      </c>
      <c r="S886" s="14">
        <f>Sales[[#This Row],[DeliveryDate]]-Sales[[#This Row],[OrderDate]]</f>
        <v>6</v>
      </c>
      <c r="T886" s="14" t="str">
        <f>IF(Sales[[#This Row],[Delivery Days]]&lt;=$W$2, "Timely", "Delayed")</f>
        <v>Timely</v>
      </c>
      <c r="U886" t="s">
        <v>2925</v>
      </c>
    </row>
    <row r="887" spans="1:21" x14ac:dyDescent="0.25">
      <c r="A887" s="4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 s="6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1">
        <v>45635</v>
      </c>
      <c r="R887" s="1">
        <v>45645</v>
      </c>
      <c r="S887" s="14">
        <f>Sales[[#This Row],[DeliveryDate]]-Sales[[#This Row],[OrderDate]]</f>
        <v>10</v>
      </c>
      <c r="T887" s="14" t="str">
        <f>IF(Sales[[#This Row],[Delivery Days]]&lt;=$W$2, "Timely", "Delayed")</f>
        <v>Delayed</v>
      </c>
      <c r="U887" t="s">
        <v>2925</v>
      </c>
    </row>
    <row r="888" spans="1:21" x14ac:dyDescent="0.25">
      <c r="A888" s="4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 s="6">
        <v>5530.14</v>
      </c>
      <c r="K888" t="s">
        <v>45</v>
      </c>
      <c r="L888" t="s">
        <v>2941</v>
      </c>
      <c r="M888">
        <v>1</v>
      </c>
      <c r="N888" t="s">
        <v>937</v>
      </c>
      <c r="O888" t="s">
        <v>2392</v>
      </c>
      <c r="P888">
        <v>16.78</v>
      </c>
      <c r="Q888" s="1">
        <v>45056</v>
      </c>
      <c r="R888" s="1">
        <v>45066</v>
      </c>
      <c r="S888" s="14">
        <f>Sales[[#This Row],[DeliveryDate]]-Sales[[#This Row],[OrderDate]]</f>
        <v>10</v>
      </c>
      <c r="T888" s="14" t="str">
        <f>IF(Sales[[#This Row],[Delivery Days]]&lt;=$W$2, "Timely", "Delayed")</f>
        <v>Delayed</v>
      </c>
      <c r="U888" t="s">
        <v>2925</v>
      </c>
    </row>
    <row r="889" spans="1:21" x14ac:dyDescent="0.25">
      <c r="A889" s="4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 s="6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1">
        <v>45217</v>
      </c>
      <c r="R889" s="1">
        <v>45220</v>
      </c>
      <c r="S889" s="14">
        <f>Sales[[#This Row],[DeliveryDate]]-Sales[[#This Row],[OrderDate]]</f>
        <v>3</v>
      </c>
      <c r="T889" s="14" t="str">
        <f>IF(Sales[[#This Row],[Delivery Days]]&lt;=$W$2, "Timely", "Delayed")</f>
        <v>Timely</v>
      </c>
      <c r="U889" t="s">
        <v>2923</v>
      </c>
    </row>
    <row r="890" spans="1:21" x14ac:dyDescent="0.25">
      <c r="A890" s="4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 s="6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1">
        <v>45629</v>
      </c>
      <c r="R890" s="1">
        <v>45632</v>
      </c>
      <c r="S890" s="14">
        <f>Sales[[#This Row],[DeliveryDate]]-Sales[[#This Row],[OrderDate]]</f>
        <v>3</v>
      </c>
      <c r="T890" s="14" t="str">
        <f>IF(Sales[[#This Row],[Delivery Days]]&lt;=$W$2, "Timely", "Delayed")</f>
        <v>Timely</v>
      </c>
      <c r="U890" t="s">
        <v>2923</v>
      </c>
    </row>
    <row r="891" spans="1:21" x14ac:dyDescent="0.25">
      <c r="A891" s="4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 s="6">
        <v>521.85599999999999</v>
      </c>
      <c r="K891" t="s">
        <v>46</v>
      </c>
      <c r="L891" t="s">
        <v>2941</v>
      </c>
      <c r="M891">
        <v>1</v>
      </c>
      <c r="N891" t="s">
        <v>940</v>
      </c>
      <c r="O891" t="s">
        <v>2395</v>
      </c>
      <c r="P891">
        <v>26.92</v>
      </c>
      <c r="Q891" s="1">
        <v>45575</v>
      </c>
      <c r="R891" s="1">
        <v>45582</v>
      </c>
      <c r="S891" s="14">
        <f>Sales[[#This Row],[DeliveryDate]]-Sales[[#This Row],[OrderDate]]</f>
        <v>7</v>
      </c>
      <c r="T891" s="14" t="str">
        <f>IF(Sales[[#This Row],[Delivery Days]]&lt;=$W$2, "Timely", "Delayed")</f>
        <v>Delayed</v>
      </c>
      <c r="U891" t="s">
        <v>2923</v>
      </c>
    </row>
    <row r="892" spans="1:21" x14ac:dyDescent="0.25">
      <c r="A892" s="4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 s="6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1">
        <v>45446</v>
      </c>
      <c r="R892" s="1">
        <v>45450</v>
      </c>
      <c r="S892" s="14">
        <f>Sales[[#This Row],[DeliveryDate]]-Sales[[#This Row],[OrderDate]]</f>
        <v>4</v>
      </c>
      <c r="T892" s="14" t="str">
        <f>IF(Sales[[#This Row],[Delivery Days]]&lt;=$W$2, "Timely", "Delayed")</f>
        <v>Timely</v>
      </c>
      <c r="U892" t="s">
        <v>2922</v>
      </c>
    </row>
    <row r="893" spans="1:21" x14ac:dyDescent="0.25">
      <c r="A893" s="4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 s="6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1">
        <v>45742</v>
      </c>
      <c r="R893" s="1">
        <v>45745</v>
      </c>
      <c r="S893" s="14">
        <f>Sales[[#This Row],[DeliveryDate]]-Sales[[#This Row],[OrderDate]]</f>
        <v>3</v>
      </c>
      <c r="T893" s="14" t="str">
        <f>IF(Sales[[#This Row],[Delivery Days]]&lt;=$W$2, "Timely", "Delayed")</f>
        <v>Timely</v>
      </c>
      <c r="U893" t="s">
        <v>2923</v>
      </c>
    </row>
    <row r="894" spans="1:21" x14ac:dyDescent="0.25">
      <c r="A894" s="4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 s="6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1">
        <v>45408</v>
      </c>
      <c r="R894" s="1">
        <v>45413</v>
      </c>
      <c r="S894" s="14">
        <f>Sales[[#This Row],[DeliveryDate]]-Sales[[#This Row],[OrderDate]]</f>
        <v>5</v>
      </c>
      <c r="T894" s="14" t="str">
        <f>IF(Sales[[#This Row],[Delivery Days]]&lt;=$W$2, "Timely", "Delayed")</f>
        <v>Timely</v>
      </c>
      <c r="U894" t="s">
        <v>2924</v>
      </c>
    </row>
    <row r="895" spans="1:21" x14ac:dyDescent="0.25">
      <c r="A895" s="4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 s="6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1">
        <v>45051</v>
      </c>
      <c r="R895" s="1">
        <v>45059</v>
      </c>
      <c r="S895" s="14">
        <f>Sales[[#This Row],[DeliveryDate]]-Sales[[#This Row],[OrderDate]]</f>
        <v>8</v>
      </c>
      <c r="T895" s="14" t="str">
        <f>IF(Sales[[#This Row],[Delivery Days]]&lt;=$W$2, "Timely", "Delayed")</f>
        <v>Delayed</v>
      </c>
      <c r="U895" t="s">
        <v>2926</v>
      </c>
    </row>
    <row r="896" spans="1:21" x14ac:dyDescent="0.25">
      <c r="A896" s="4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 s="6">
        <v>290.99</v>
      </c>
      <c r="K896" t="s">
        <v>43</v>
      </c>
      <c r="L896" t="s">
        <v>2941</v>
      </c>
      <c r="M896">
        <v>0</v>
      </c>
      <c r="N896" t="s">
        <v>945</v>
      </c>
      <c r="O896" t="s">
        <v>2400</v>
      </c>
      <c r="P896">
        <v>16.59</v>
      </c>
      <c r="Q896" s="1">
        <v>45192</v>
      </c>
      <c r="R896" s="1">
        <v>45198</v>
      </c>
      <c r="S896" s="14">
        <f>Sales[[#This Row],[DeliveryDate]]-Sales[[#This Row],[OrderDate]]</f>
        <v>6</v>
      </c>
      <c r="T896" s="14" t="str">
        <f>IF(Sales[[#This Row],[Delivery Days]]&lt;=$W$2, "Timely", "Delayed")</f>
        <v>Timely</v>
      </c>
      <c r="U896" t="s">
        <v>2926</v>
      </c>
    </row>
    <row r="897" spans="1:21" x14ac:dyDescent="0.25">
      <c r="A897" s="4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 s="6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1">
        <v>45724</v>
      </c>
      <c r="R897" s="1">
        <v>45731</v>
      </c>
      <c r="S897" s="14">
        <f>Sales[[#This Row],[DeliveryDate]]-Sales[[#This Row],[OrderDate]]</f>
        <v>7</v>
      </c>
      <c r="T897" s="14" t="str">
        <f>IF(Sales[[#This Row],[Delivery Days]]&lt;=$W$2, "Timely", "Delayed")</f>
        <v>Delayed</v>
      </c>
      <c r="U897" t="s">
        <v>2923</v>
      </c>
    </row>
    <row r="898" spans="1:21" x14ac:dyDescent="0.25">
      <c r="A898" s="4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 s="6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1">
        <v>44943</v>
      </c>
      <c r="R898" s="1">
        <v>44953</v>
      </c>
      <c r="S898" s="14">
        <f>Sales[[#This Row],[DeliveryDate]]-Sales[[#This Row],[OrderDate]]</f>
        <v>10</v>
      </c>
      <c r="T898" s="14" t="str">
        <f>IF(Sales[[#This Row],[Delivery Days]]&lt;=$W$2, "Timely", "Delayed")</f>
        <v>Delayed</v>
      </c>
      <c r="U898" t="s">
        <v>2924</v>
      </c>
    </row>
    <row r="899" spans="1:21" x14ac:dyDescent="0.25">
      <c r="A899" s="4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 s="6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1">
        <v>45045</v>
      </c>
      <c r="R899" s="1">
        <v>45047</v>
      </c>
      <c r="S899" s="14">
        <f>Sales[[#This Row],[DeliveryDate]]-Sales[[#This Row],[OrderDate]]</f>
        <v>2</v>
      </c>
      <c r="T899" s="14" t="str">
        <f>IF(Sales[[#This Row],[Delivery Days]]&lt;=$W$2, "Timely", "Delayed")</f>
        <v>Timely</v>
      </c>
      <c r="U899" t="s">
        <v>2925</v>
      </c>
    </row>
    <row r="900" spans="1:21" x14ac:dyDescent="0.25">
      <c r="A900" s="4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 s="6">
        <v>3314.1959999999999</v>
      </c>
      <c r="K900" t="s">
        <v>47</v>
      </c>
      <c r="L900" t="s">
        <v>2941</v>
      </c>
      <c r="M900">
        <v>0</v>
      </c>
      <c r="N900" t="s">
        <v>949</v>
      </c>
      <c r="O900" t="s">
        <v>2404</v>
      </c>
      <c r="P900">
        <v>16.04</v>
      </c>
      <c r="Q900" s="1">
        <v>45704</v>
      </c>
      <c r="R900" s="1">
        <v>45710</v>
      </c>
      <c r="S900" s="14">
        <f>Sales[[#This Row],[DeliveryDate]]-Sales[[#This Row],[OrderDate]]</f>
        <v>6</v>
      </c>
      <c r="T900" s="14" t="str">
        <f>IF(Sales[[#This Row],[Delivery Days]]&lt;=$W$2, "Timely", "Delayed")</f>
        <v>Timely</v>
      </c>
      <c r="U900" t="s">
        <v>2923</v>
      </c>
    </row>
    <row r="901" spans="1:21" x14ac:dyDescent="0.25">
      <c r="A901" s="4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 s="6">
        <v>4138.3950000000004</v>
      </c>
      <c r="K901" t="s">
        <v>46</v>
      </c>
      <c r="L901" t="s">
        <v>2941</v>
      </c>
      <c r="M901">
        <v>0</v>
      </c>
      <c r="N901" t="s">
        <v>950</v>
      </c>
      <c r="O901" t="s">
        <v>2405</v>
      </c>
      <c r="P901">
        <v>24.57</v>
      </c>
      <c r="Q901" s="1">
        <v>45082</v>
      </c>
      <c r="R901" s="1">
        <v>45086</v>
      </c>
      <c r="S901" s="14">
        <f>Sales[[#This Row],[DeliveryDate]]-Sales[[#This Row],[OrderDate]]</f>
        <v>4</v>
      </c>
      <c r="T901" s="14" t="str">
        <f>IF(Sales[[#This Row],[Delivery Days]]&lt;=$W$2, "Timely", "Delayed")</f>
        <v>Timely</v>
      </c>
      <c r="U901" t="s">
        <v>2922</v>
      </c>
    </row>
    <row r="902" spans="1:21" x14ac:dyDescent="0.25">
      <c r="A902" s="4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 s="6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1">
        <v>45166</v>
      </c>
      <c r="R902" s="1">
        <v>45175</v>
      </c>
      <c r="S902" s="14">
        <f>Sales[[#This Row],[DeliveryDate]]-Sales[[#This Row],[OrderDate]]</f>
        <v>9</v>
      </c>
      <c r="T902" s="14" t="str">
        <f>IF(Sales[[#This Row],[Delivery Days]]&lt;=$W$2, "Timely", "Delayed")</f>
        <v>Delayed</v>
      </c>
      <c r="U902" t="s">
        <v>2923</v>
      </c>
    </row>
    <row r="903" spans="1:21" x14ac:dyDescent="0.25">
      <c r="A903" s="4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 s="6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1">
        <v>45139</v>
      </c>
      <c r="R903" s="1">
        <v>45148</v>
      </c>
      <c r="S903" s="14">
        <f>Sales[[#This Row],[DeliveryDate]]-Sales[[#This Row],[OrderDate]]</f>
        <v>9</v>
      </c>
      <c r="T903" s="14" t="str">
        <f>IF(Sales[[#This Row],[Delivery Days]]&lt;=$W$2, "Timely", "Delayed")</f>
        <v>Delayed</v>
      </c>
      <c r="U903" t="s">
        <v>2924</v>
      </c>
    </row>
    <row r="904" spans="1:21" x14ac:dyDescent="0.25">
      <c r="A904" s="4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 s="6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1">
        <v>45700</v>
      </c>
      <c r="R904" s="1">
        <v>45708</v>
      </c>
      <c r="S904" s="14">
        <f>Sales[[#This Row],[DeliveryDate]]-Sales[[#This Row],[OrderDate]]</f>
        <v>8</v>
      </c>
      <c r="T904" s="14" t="str">
        <f>IF(Sales[[#This Row],[Delivery Days]]&lt;=$W$2, "Timely", "Delayed")</f>
        <v>Delayed</v>
      </c>
      <c r="U904" t="s">
        <v>2926</v>
      </c>
    </row>
    <row r="905" spans="1:21" x14ac:dyDescent="0.25">
      <c r="A905" s="4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 s="6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1">
        <v>45110</v>
      </c>
      <c r="R905" s="1">
        <v>45113</v>
      </c>
      <c r="S905" s="14">
        <f>Sales[[#This Row],[DeliveryDate]]-Sales[[#This Row],[OrderDate]]</f>
        <v>3</v>
      </c>
      <c r="T905" s="14" t="str">
        <f>IF(Sales[[#This Row],[Delivery Days]]&lt;=$W$2, "Timely", "Delayed")</f>
        <v>Timely</v>
      </c>
      <c r="U905" t="s">
        <v>2925</v>
      </c>
    </row>
    <row r="906" spans="1:21" x14ac:dyDescent="0.25">
      <c r="A906" s="4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 s="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1">
        <v>45786</v>
      </c>
      <c r="R906" s="1">
        <v>45790</v>
      </c>
      <c r="S906" s="14">
        <f>Sales[[#This Row],[DeliveryDate]]-Sales[[#This Row],[OrderDate]]</f>
        <v>4</v>
      </c>
      <c r="T906" s="14" t="str">
        <f>IF(Sales[[#This Row],[Delivery Days]]&lt;=$W$2, "Timely", "Delayed")</f>
        <v>Timely</v>
      </c>
      <c r="U906" t="s">
        <v>2925</v>
      </c>
    </row>
    <row r="907" spans="1:21" x14ac:dyDescent="0.25">
      <c r="A907" s="4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 s="6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1">
        <v>45417</v>
      </c>
      <c r="R907" s="1">
        <v>45426</v>
      </c>
      <c r="S907" s="14">
        <f>Sales[[#This Row],[DeliveryDate]]-Sales[[#This Row],[OrderDate]]</f>
        <v>9</v>
      </c>
      <c r="T907" s="14" t="str">
        <f>IF(Sales[[#This Row],[Delivery Days]]&lt;=$W$2, "Timely", "Delayed")</f>
        <v>Delayed</v>
      </c>
      <c r="U907" t="s">
        <v>2926</v>
      </c>
    </row>
    <row r="908" spans="1:21" x14ac:dyDescent="0.25">
      <c r="A908" s="4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 s="6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1">
        <v>45299</v>
      </c>
      <c r="R908" s="1">
        <v>45306</v>
      </c>
      <c r="S908" s="14">
        <f>Sales[[#This Row],[DeliveryDate]]-Sales[[#This Row],[OrderDate]]</f>
        <v>7</v>
      </c>
      <c r="T908" s="14" t="str">
        <f>IF(Sales[[#This Row],[Delivery Days]]&lt;=$W$2, "Timely", "Delayed")</f>
        <v>Delayed</v>
      </c>
      <c r="U908" t="s">
        <v>2923</v>
      </c>
    </row>
    <row r="909" spans="1:21" x14ac:dyDescent="0.25">
      <c r="A909" s="4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 s="6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1">
        <v>45670</v>
      </c>
      <c r="R909" s="1">
        <v>45674</v>
      </c>
      <c r="S909" s="14">
        <f>Sales[[#This Row],[DeliveryDate]]-Sales[[#This Row],[OrderDate]]</f>
        <v>4</v>
      </c>
      <c r="T909" s="14" t="str">
        <f>IF(Sales[[#This Row],[Delivery Days]]&lt;=$W$2, "Timely", "Delayed")</f>
        <v>Timely</v>
      </c>
      <c r="U909" t="s">
        <v>2923</v>
      </c>
    </row>
    <row r="910" spans="1:21" x14ac:dyDescent="0.25">
      <c r="A910" s="4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 s="6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1">
        <v>45820</v>
      </c>
      <c r="R910" s="1">
        <v>45826</v>
      </c>
      <c r="S910" s="14">
        <f>Sales[[#This Row],[DeliveryDate]]-Sales[[#This Row],[OrderDate]]</f>
        <v>6</v>
      </c>
      <c r="T910" s="14" t="str">
        <f>IF(Sales[[#This Row],[Delivery Days]]&lt;=$W$2, "Timely", "Delayed")</f>
        <v>Timely</v>
      </c>
      <c r="U910" t="s">
        <v>2922</v>
      </c>
    </row>
    <row r="911" spans="1:21" x14ac:dyDescent="0.25">
      <c r="A911" s="4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 s="6">
        <v>2819.4839999999999</v>
      </c>
      <c r="K911" t="s">
        <v>43</v>
      </c>
      <c r="L911" t="s">
        <v>2941</v>
      </c>
      <c r="M911">
        <v>0</v>
      </c>
      <c r="N911" t="s">
        <v>960</v>
      </c>
      <c r="O911" t="s">
        <v>2414</v>
      </c>
      <c r="P911">
        <v>30.57</v>
      </c>
      <c r="Q911" s="1">
        <v>45750</v>
      </c>
      <c r="R911" s="1">
        <v>45759</v>
      </c>
      <c r="S911" s="14">
        <f>Sales[[#This Row],[DeliveryDate]]-Sales[[#This Row],[OrderDate]]</f>
        <v>9</v>
      </c>
      <c r="T911" s="14" t="str">
        <f>IF(Sales[[#This Row],[Delivery Days]]&lt;=$W$2, "Timely", "Delayed")</f>
        <v>Delayed</v>
      </c>
      <c r="U911" t="s">
        <v>2924</v>
      </c>
    </row>
    <row r="912" spans="1:21" x14ac:dyDescent="0.25">
      <c r="A912" s="4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 s="6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1">
        <v>44952</v>
      </c>
      <c r="R912" s="1">
        <v>44956</v>
      </c>
      <c r="S912" s="14">
        <f>Sales[[#This Row],[DeliveryDate]]-Sales[[#This Row],[OrderDate]]</f>
        <v>4</v>
      </c>
      <c r="T912" s="14" t="str">
        <f>IF(Sales[[#This Row],[Delivery Days]]&lt;=$W$2, "Timely", "Delayed")</f>
        <v>Timely</v>
      </c>
      <c r="U912" t="s">
        <v>2925</v>
      </c>
    </row>
    <row r="913" spans="1:21" x14ac:dyDescent="0.25">
      <c r="A913" s="4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 s="6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1">
        <v>44933</v>
      </c>
      <c r="R913" s="1">
        <v>44937</v>
      </c>
      <c r="S913" s="14">
        <f>Sales[[#This Row],[DeliveryDate]]-Sales[[#This Row],[OrderDate]]</f>
        <v>4</v>
      </c>
      <c r="T913" s="14" t="str">
        <f>IF(Sales[[#This Row],[Delivery Days]]&lt;=$W$2, "Timely", "Delayed")</f>
        <v>Timely</v>
      </c>
      <c r="U913" t="s">
        <v>2925</v>
      </c>
    </row>
    <row r="914" spans="1:21" x14ac:dyDescent="0.25">
      <c r="A914" s="4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 s="6">
        <v>6088.4459999999999</v>
      </c>
      <c r="K914" t="s">
        <v>44</v>
      </c>
      <c r="L914" t="s">
        <v>2941</v>
      </c>
      <c r="M914">
        <v>0</v>
      </c>
      <c r="N914" t="s">
        <v>963</v>
      </c>
      <c r="O914" t="s">
        <v>2417</v>
      </c>
      <c r="P914">
        <v>15.13</v>
      </c>
      <c r="Q914" s="1">
        <v>45672</v>
      </c>
      <c r="R914" s="1">
        <v>45680</v>
      </c>
      <c r="S914" s="14">
        <f>Sales[[#This Row],[DeliveryDate]]-Sales[[#This Row],[OrderDate]]</f>
        <v>8</v>
      </c>
      <c r="T914" s="14" t="str">
        <f>IF(Sales[[#This Row],[Delivery Days]]&lt;=$W$2, "Timely", "Delayed")</f>
        <v>Delayed</v>
      </c>
      <c r="U914" t="s">
        <v>2924</v>
      </c>
    </row>
    <row r="915" spans="1:21" x14ac:dyDescent="0.25">
      <c r="A915" s="4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 s="6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1">
        <v>45626</v>
      </c>
      <c r="R915" s="1">
        <v>45631</v>
      </c>
      <c r="S915" s="14">
        <f>Sales[[#This Row],[DeliveryDate]]-Sales[[#This Row],[OrderDate]]</f>
        <v>5</v>
      </c>
      <c r="T915" s="14" t="str">
        <f>IF(Sales[[#This Row],[Delivery Days]]&lt;=$W$2, "Timely", "Delayed")</f>
        <v>Timely</v>
      </c>
      <c r="U915" t="s">
        <v>2922</v>
      </c>
    </row>
    <row r="916" spans="1:21" x14ac:dyDescent="0.25">
      <c r="A916" s="4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 s="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1">
        <v>45348</v>
      </c>
      <c r="R916" s="1">
        <v>45358</v>
      </c>
      <c r="S916" s="14">
        <f>Sales[[#This Row],[DeliveryDate]]-Sales[[#This Row],[OrderDate]]</f>
        <v>10</v>
      </c>
      <c r="T916" s="14" t="str">
        <f>IF(Sales[[#This Row],[Delivery Days]]&lt;=$W$2, "Timely", "Delayed")</f>
        <v>Delayed</v>
      </c>
      <c r="U916" t="s">
        <v>2922</v>
      </c>
    </row>
    <row r="917" spans="1:21" x14ac:dyDescent="0.25">
      <c r="A917" s="4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 s="6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1">
        <v>45819</v>
      </c>
      <c r="R917" s="1">
        <v>45823</v>
      </c>
      <c r="S917" s="14">
        <f>Sales[[#This Row],[DeliveryDate]]-Sales[[#This Row],[OrderDate]]</f>
        <v>4</v>
      </c>
      <c r="T917" s="14" t="str">
        <f>IF(Sales[[#This Row],[Delivery Days]]&lt;=$W$2, "Timely", "Delayed")</f>
        <v>Timely</v>
      </c>
      <c r="U917" t="s">
        <v>2924</v>
      </c>
    </row>
    <row r="918" spans="1:21" x14ac:dyDescent="0.25">
      <c r="A918" s="4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 s="6">
        <v>2947.01</v>
      </c>
      <c r="K918" t="s">
        <v>46</v>
      </c>
      <c r="L918" t="s">
        <v>2941</v>
      </c>
      <c r="M918">
        <v>0</v>
      </c>
      <c r="N918" t="s">
        <v>967</v>
      </c>
      <c r="O918" t="s">
        <v>2421</v>
      </c>
      <c r="P918">
        <v>12.05</v>
      </c>
      <c r="Q918" s="1">
        <v>45259</v>
      </c>
      <c r="R918" s="1">
        <v>45264</v>
      </c>
      <c r="S918" s="14">
        <f>Sales[[#This Row],[DeliveryDate]]-Sales[[#This Row],[OrderDate]]</f>
        <v>5</v>
      </c>
      <c r="T918" s="14" t="str">
        <f>IF(Sales[[#This Row],[Delivery Days]]&lt;=$W$2, "Timely", "Delayed")</f>
        <v>Timely</v>
      </c>
      <c r="U918" t="s">
        <v>2925</v>
      </c>
    </row>
    <row r="919" spans="1:21" x14ac:dyDescent="0.25">
      <c r="A919" s="4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 s="6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1">
        <v>45470</v>
      </c>
      <c r="R919" s="1">
        <v>45478</v>
      </c>
      <c r="S919" s="14">
        <f>Sales[[#This Row],[DeliveryDate]]-Sales[[#This Row],[OrderDate]]</f>
        <v>8</v>
      </c>
      <c r="T919" s="14" t="str">
        <f>IF(Sales[[#This Row],[Delivery Days]]&lt;=$W$2, "Timely", "Delayed")</f>
        <v>Delayed</v>
      </c>
      <c r="U919" t="s">
        <v>2923</v>
      </c>
    </row>
    <row r="920" spans="1:21" x14ac:dyDescent="0.25">
      <c r="A920" s="4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 s="6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1">
        <v>45432</v>
      </c>
      <c r="R920" s="1">
        <v>45439</v>
      </c>
      <c r="S920" s="14">
        <f>Sales[[#This Row],[DeliveryDate]]-Sales[[#This Row],[OrderDate]]</f>
        <v>7</v>
      </c>
      <c r="T920" s="14" t="str">
        <f>IF(Sales[[#This Row],[Delivery Days]]&lt;=$W$2, "Timely", "Delayed")</f>
        <v>Delayed</v>
      </c>
      <c r="U920" t="s">
        <v>2923</v>
      </c>
    </row>
    <row r="921" spans="1:21" x14ac:dyDescent="0.25">
      <c r="A921" s="4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 s="6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1">
        <v>45094</v>
      </c>
      <c r="R921" s="1">
        <v>45099</v>
      </c>
      <c r="S921" s="14">
        <f>Sales[[#This Row],[DeliveryDate]]-Sales[[#This Row],[OrderDate]]</f>
        <v>5</v>
      </c>
      <c r="T921" s="14" t="str">
        <f>IF(Sales[[#This Row],[Delivery Days]]&lt;=$W$2, "Timely", "Delayed")</f>
        <v>Timely</v>
      </c>
      <c r="U921" t="s">
        <v>2926</v>
      </c>
    </row>
    <row r="922" spans="1:21" x14ac:dyDescent="0.25">
      <c r="A922" s="4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 s="6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1">
        <v>45602</v>
      </c>
      <c r="R922" s="1">
        <v>45609</v>
      </c>
      <c r="S922" s="14">
        <f>Sales[[#This Row],[DeliveryDate]]-Sales[[#This Row],[OrderDate]]</f>
        <v>7</v>
      </c>
      <c r="T922" s="14" t="str">
        <f>IF(Sales[[#This Row],[Delivery Days]]&lt;=$W$2, "Timely", "Delayed")</f>
        <v>Delayed</v>
      </c>
      <c r="U922" t="s">
        <v>2922</v>
      </c>
    </row>
    <row r="923" spans="1:21" x14ac:dyDescent="0.25">
      <c r="A923" s="4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 s="6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1">
        <v>45700</v>
      </c>
      <c r="R923" s="1">
        <v>45708</v>
      </c>
      <c r="S923" s="14">
        <f>Sales[[#This Row],[DeliveryDate]]-Sales[[#This Row],[OrderDate]]</f>
        <v>8</v>
      </c>
      <c r="T923" s="14" t="str">
        <f>IF(Sales[[#This Row],[Delivery Days]]&lt;=$W$2, "Timely", "Delayed")</f>
        <v>Delayed</v>
      </c>
      <c r="U923" t="s">
        <v>2924</v>
      </c>
    </row>
    <row r="924" spans="1:21" x14ac:dyDescent="0.25">
      <c r="A924" s="4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 s="6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1">
        <v>45756</v>
      </c>
      <c r="R924" s="1">
        <v>45761</v>
      </c>
      <c r="S924" s="14">
        <f>Sales[[#This Row],[DeliveryDate]]-Sales[[#This Row],[OrderDate]]</f>
        <v>5</v>
      </c>
      <c r="T924" s="14" t="str">
        <f>IF(Sales[[#This Row],[Delivery Days]]&lt;=$W$2, "Timely", "Delayed")</f>
        <v>Timely</v>
      </c>
      <c r="U924" t="s">
        <v>2924</v>
      </c>
    </row>
    <row r="925" spans="1:21" x14ac:dyDescent="0.25">
      <c r="A925" s="4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 s="6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1">
        <v>45522</v>
      </c>
      <c r="R925" s="1">
        <v>45530</v>
      </c>
      <c r="S925" s="14">
        <f>Sales[[#This Row],[DeliveryDate]]-Sales[[#This Row],[OrderDate]]</f>
        <v>8</v>
      </c>
      <c r="T925" s="14" t="str">
        <f>IF(Sales[[#This Row],[Delivery Days]]&lt;=$W$2, "Timely", "Delayed")</f>
        <v>Delayed</v>
      </c>
      <c r="U925" t="s">
        <v>2924</v>
      </c>
    </row>
    <row r="926" spans="1:21" x14ac:dyDescent="0.25">
      <c r="A926" s="4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 s="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1">
        <v>44977</v>
      </c>
      <c r="R926" s="1">
        <v>44980</v>
      </c>
      <c r="S926" s="14">
        <f>Sales[[#This Row],[DeliveryDate]]-Sales[[#This Row],[OrderDate]]</f>
        <v>3</v>
      </c>
      <c r="T926" s="14" t="str">
        <f>IF(Sales[[#This Row],[Delivery Days]]&lt;=$W$2, "Timely", "Delayed")</f>
        <v>Timely</v>
      </c>
      <c r="U926" t="s">
        <v>2925</v>
      </c>
    </row>
    <row r="927" spans="1:21" x14ac:dyDescent="0.25">
      <c r="A927" s="4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 s="6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1">
        <v>45775</v>
      </c>
      <c r="R927" s="1">
        <v>45785</v>
      </c>
      <c r="S927" s="14">
        <f>Sales[[#This Row],[DeliveryDate]]-Sales[[#This Row],[OrderDate]]</f>
        <v>10</v>
      </c>
      <c r="T927" s="14" t="str">
        <f>IF(Sales[[#This Row],[Delivery Days]]&lt;=$W$2, "Timely", "Delayed")</f>
        <v>Delayed</v>
      </c>
      <c r="U927" t="s">
        <v>2924</v>
      </c>
    </row>
    <row r="928" spans="1:21" x14ac:dyDescent="0.25">
      <c r="A928" s="4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 s="6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1">
        <v>45148</v>
      </c>
      <c r="R928" s="1">
        <v>45151</v>
      </c>
      <c r="S928" s="14">
        <f>Sales[[#This Row],[DeliveryDate]]-Sales[[#This Row],[OrderDate]]</f>
        <v>3</v>
      </c>
      <c r="T928" s="14" t="str">
        <f>IF(Sales[[#This Row],[Delivery Days]]&lt;=$W$2, "Timely", "Delayed")</f>
        <v>Timely</v>
      </c>
      <c r="U928" t="s">
        <v>2925</v>
      </c>
    </row>
    <row r="929" spans="1:21" x14ac:dyDescent="0.25">
      <c r="A929" s="4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 s="6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1">
        <v>45467</v>
      </c>
      <c r="R929" s="1">
        <v>45472</v>
      </c>
      <c r="S929" s="14">
        <f>Sales[[#This Row],[DeliveryDate]]-Sales[[#This Row],[OrderDate]]</f>
        <v>5</v>
      </c>
      <c r="T929" s="14" t="str">
        <f>IF(Sales[[#This Row],[Delivery Days]]&lt;=$W$2, "Timely", "Delayed")</f>
        <v>Timely</v>
      </c>
      <c r="U929" t="s">
        <v>2924</v>
      </c>
    </row>
    <row r="930" spans="1:21" x14ac:dyDescent="0.25">
      <c r="A930" s="4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 s="6">
        <v>864.12950000000001</v>
      </c>
      <c r="K930" t="s">
        <v>46</v>
      </c>
      <c r="L930" t="s">
        <v>2941</v>
      </c>
      <c r="M930">
        <v>0</v>
      </c>
      <c r="N930" t="s">
        <v>979</v>
      </c>
      <c r="O930" t="s">
        <v>2431</v>
      </c>
      <c r="P930">
        <v>27.66</v>
      </c>
      <c r="Q930" s="1">
        <v>45144</v>
      </c>
      <c r="R930" s="1">
        <v>45150</v>
      </c>
      <c r="S930" s="14">
        <f>Sales[[#This Row],[DeliveryDate]]-Sales[[#This Row],[OrderDate]]</f>
        <v>6</v>
      </c>
      <c r="T930" s="14" t="str">
        <f>IF(Sales[[#This Row],[Delivery Days]]&lt;=$W$2, "Timely", "Delayed")</f>
        <v>Timely</v>
      </c>
      <c r="U930" t="s">
        <v>2925</v>
      </c>
    </row>
    <row r="931" spans="1:21" x14ac:dyDescent="0.25">
      <c r="A931" s="4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 s="6">
        <v>2761.4789999999998</v>
      </c>
      <c r="K931" t="s">
        <v>47</v>
      </c>
      <c r="L931" t="s">
        <v>2941</v>
      </c>
      <c r="M931">
        <v>1</v>
      </c>
      <c r="N931" t="s">
        <v>980</v>
      </c>
      <c r="O931" t="s">
        <v>2100</v>
      </c>
      <c r="P931">
        <v>11.57</v>
      </c>
      <c r="Q931" s="1">
        <v>45622</v>
      </c>
      <c r="R931" s="1">
        <v>45626</v>
      </c>
      <c r="S931" s="14">
        <f>Sales[[#This Row],[DeliveryDate]]-Sales[[#This Row],[OrderDate]]</f>
        <v>4</v>
      </c>
      <c r="T931" s="14" t="str">
        <f>IF(Sales[[#This Row],[Delivery Days]]&lt;=$W$2, "Timely", "Delayed")</f>
        <v>Timely</v>
      </c>
      <c r="U931" t="s">
        <v>2922</v>
      </c>
    </row>
    <row r="932" spans="1:21" x14ac:dyDescent="0.25">
      <c r="A932" s="4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 s="6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1">
        <v>45694</v>
      </c>
      <c r="R932" s="1">
        <v>45698</v>
      </c>
      <c r="S932" s="14">
        <f>Sales[[#This Row],[DeliveryDate]]-Sales[[#This Row],[OrderDate]]</f>
        <v>4</v>
      </c>
      <c r="T932" s="14" t="str">
        <f>IF(Sales[[#This Row],[Delivery Days]]&lt;=$W$2, "Timely", "Delayed")</f>
        <v>Timely</v>
      </c>
      <c r="U932" t="s">
        <v>2922</v>
      </c>
    </row>
    <row r="933" spans="1:21" x14ac:dyDescent="0.25">
      <c r="A933" s="4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 s="6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1">
        <v>45736</v>
      </c>
      <c r="R933" s="1">
        <v>45742</v>
      </c>
      <c r="S933" s="14">
        <f>Sales[[#This Row],[DeliveryDate]]-Sales[[#This Row],[OrderDate]]</f>
        <v>6</v>
      </c>
      <c r="T933" s="14" t="str">
        <f>IF(Sales[[#This Row],[Delivery Days]]&lt;=$W$2, "Timely", "Delayed")</f>
        <v>Timely</v>
      </c>
      <c r="U933" t="s">
        <v>2922</v>
      </c>
    </row>
    <row r="934" spans="1:21" x14ac:dyDescent="0.25">
      <c r="A934" s="4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 s="6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1">
        <v>45545</v>
      </c>
      <c r="R934" s="1">
        <v>45547</v>
      </c>
      <c r="S934" s="14">
        <f>Sales[[#This Row],[DeliveryDate]]-Sales[[#This Row],[OrderDate]]</f>
        <v>2</v>
      </c>
      <c r="T934" s="14" t="str">
        <f>IF(Sales[[#This Row],[Delivery Days]]&lt;=$W$2, "Timely", "Delayed")</f>
        <v>Timely</v>
      </c>
      <c r="U934" t="s">
        <v>2923</v>
      </c>
    </row>
    <row r="935" spans="1:21" x14ac:dyDescent="0.25">
      <c r="A935" s="4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 s="6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1">
        <v>45708</v>
      </c>
      <c r="R935" s="1">
        <v>45718</v>
      </c>
      <c r="S935" s="14">
        <f>Sales[[#This Row],[DeliveryDate]]-Sales[[#This Row],[OrderDate]]</f>
        <v>10</v>
      </c>
      <c r="T935" s="14" t="str">
        <f>IF(Sales[[#This Row],[Delivery Days]]&lt;=$W$2, "Timely", "Delayed")</f>
        <v>Delayed</v>
      </c>
      <c r="U935" t="s">
        <v>2923</v>
      </c>
    </row>
    <row r="936" spans="1:21" x14ac:dyDescent="0.25">
      <c r="A936" s="4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 s="6">
        <v>5901.3374999999996</v>
      </c>
      <c r="K936" t="s">
        <v>45</v>
      </c>
      <c r="L936" t="s">
        <v>2941</v>
      </c>
      <c r="M936">
        <v>0</v>
      </c>
      <c r="N936" t="s">
        <v>985</v>
      </c>
      <c r="O936" t="s">
        <v>2436</v>
      </c>
      <c r="P936">
        <v>46.12</v>
      </c>
      <c r="Q936" s="1">
        <v>44946</v>
      </c>
      <c r="R936" s="1">
        <v>44952</v>
      </c>
      <c r="S936" s="14">
        <f>Sales[[#This Row],[DeliveryDate]]-Sales[[#This Row],[OrderDate]]</f>
        <v>6</v>
      </c>
      <c r="T936" s="14" t="str">
        <f>IF(Sales[[#This Row],[Delivery Days]]&lt;=$W$2, "Timely", "Delayed")</f>
        <v>Timely</v>
      </c>
      <c r="U936" t="s">
        <v>2922</v>
      </c>
    </row>
    <row r="937" spans="1:21" x14ac:dyDescent="0.25">
      <c r="A937" s="4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 s="6">
        <v>167.36150000000001</v>
      </c>
      <c r="K937" t="s">
        <v>46</v>
      </c>
      <c r="L937" t="s">
        <v>2941</v>
      </c>
      <c r="M937">
        <v>1</v>
      </c>
      <c r="N937" t="s">
        <v>986</v>
      </c>
      <c r="O937" t="s">
        <v>2437</v>
      </c>
      <c r="P937">
        <v>35.770000000000003</v>
      </c>
      <c r="Q937" s="1">
        <v>45354</v>
      </c>
      <c r="R937" s="1">
        <v>45357</v>
      </c>
      <c r="S937" s="14">
        <f>Sales[[#This Row],[DeliveryDate]]-Sales[[#This Row],[OrderDate]]</f>
        <v>3</v>
      </c>
      <c r="T937" s="14" t="str">
        <f>IF(Sales[[#This Row],[Delivery Days]]&lt;=$W$2, "Timely", "Delayed")</f>
        <v>Timely</v>
      </c>
      <c r="U937" t="s">
        <v>2922</v>
      </c>
    </row>
    <row r="938" spans="1:21" x14ac:dyDescent="0.25">
      <c r="A938" s="4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 s="6">
        <v>64.116</v>
      </c>
      <c r="K938" t="s">
        <v>46</v>
      </c>
      <c r="L938" t="s">
        <v>2941</v>
      </c>
      <c r="M938">
        <v>1</v>
      </c>
      <c r="N938" t="s">
        <v>987</v>
      </c>
      <c r="O938" t="s">
        <v>2438</v>
      </c>
      <c r="P938">
        <v>43.69</v>
      </c>
      <c r="Q938" s="1">
        <v>45257</v>
      </c>
      <c r="R938" s="1">
        <v>45263</v>
      </c>
      <c r="S938" s="14">
        <f>Sales[[#This Row],[DeliveryDate]]-Sales[[#This Row],[OrderDate]]</f>
        <v>6</v>
      </c>
      <c r="T938" s="14" t="str">
        <f>IF(Sales[[#This Row],[Delivery Days]]&lt;=$W$2, "Timely", "Delayed")</f>
        <v>Timely</v>
      </c>
      <c r="U938" t="s">
        <v>2926</v>
      </c>
    </row>
    <row r="939" spans="1:21" x14ac:dyDescent="0.25">
      <c r="A939" s="4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 s="6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1">
        <v>45606</v>
      </c>
      <c r="R939" s="1">
        <v>45614</v>
      </c>
      <c r="S939" s="14">
        <f>Sales[[#This Row],[DeliveryDate]]-Sales[[#This Row],[OrderDate]]</f>
        <v>8</v>
      </c>
      <c r="T939" s="14" t="str">
        <f>IF(Sales[[#This Row],[Delivery Days]]&lt;=$W$2, "Timely", "Delayed")</f>
        <v>Delayed</v>
      </c>
      <c r="U939" t="s">
        <v>2922</v>
      </c>
    </row>
    <row r="940" spans="1:21" x14ac:dyDescent="0.25">
      <c r="A940" s="4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 s="6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1">
        <v>45692</v>
      </c>
      <c r="R940" s="1">
        <v>45696</v>
      </c>
      <c r="S940" s="14">
        <f>Sales[[#This Row],[DeliveryDate]]-Sales[[#This Row],[OrderDate]]</f>
        <v>4</v>
      </c>
      <c r="T940" s="14" t="str">
        <f>IF(Sales[[#This Row],[Delivery Days]]&lt;=$W$2, "Timely", "Delayed")</f>
        <v>Timely</v>
      </c>
      <c r="U940" t="s">
        <v>2925</v>
      </c>
    </row>
    <row r="941" spans="1:21" x14ac:dyDescent="0.25">
      <c r="A941" s="4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 s="6">
        <v>161.785</v>
      </c>
      <c r="K941" t="s">
        <v>44</v>
      </c>
      <c r="L941" t="s">
        <v>2941</v>
      </c>
      <c r="M941">
        <v>0</v>
      </c>
      <c r="N941" t="s">
        <v>990</v>
      </c>
      <c r="O941" t="s">
        <v>2441</v>
      </c>
      <c r="P941">
        <v>19.72</v>
      </c>
      <c r="Q941" s="1">
        <v>45343</v>
      </c>
      <c r="R941" s="1">
        <v>45353</v>
      </c>
      <c r="S941" s="14">
        <f>Sales[[#This Row],[DeliveryDate]]-Sales[[#This Row],[OrderDate]]</f>
        <v>10</v>
      </c>
      <c r="T941" s="14" t="str">
        <f>IF(Sales[[#This Row],[Delivery Days]]&lt;=$W$2, "Timely", "Delayed")</f>
        <v>Delayed</v>
      </c>
      <c r="U941" t="s">
        <v>2922</v>
      </c>
    </row>
    <row r="942" spans="1:21" x14ac:dyDescent="0.25">
      <c r="A942" s="4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 s="6">
        <v>7689.7800000000007</v>
      </c>
      <c r="K942" t="s">
        <v>47</v>
      </c>
      <c r="L942" t="s">
        <v>2941</v>
      </c>
      <c r="M942">
        <v>0</v>
      </c>
      <c r="N942" t="s">
        <v>991</v>
      </c>
      <c r="O942" t="s">
        <v>2442</v>
      </c>
      <c r="P942">
        <v>15.38</v>
      </c>
      <c r="Q942" s="1">
        <v>45009</v>
      </c>
      <c r="R942" s="1">
        <v>45014</v>
      </c>
      <c r="S942" s="14">
        <f>Sales[[#This Row],[DeliveryDate]]-Sales[[#This Row],[OrderDate]]</f>
        <v>5</v>
      </c>
      <c r="T942" s="14" t="str">
        <f>IF(Sales[[#This Row],[Delivery Days]]&lt;=$W$2, "Timely", "Delayed")</f>
        <v>Timely</v>
      </c>
      <c r="U942" t="s">
        <v>2922</v>
      </c>
    </row>
    <row r="943" spans="1:21" x14ac:dyDescent="0.25">
      <c r="A943" s="4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 s="6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1">
        <v>45417</v>
      </c>
      <c r="R943" s="1">
        <v>45425</v>
      </c>
      <c r="S943" s="14">
        <f>Sales[[#This Row],[DeliveryDate]]-Sales[[#This Row],[OrderDate]]</f>
        <v>8</v>
      </c>
      <c r="T943" s="14" t="str">
        <f>IF(Sales[[#This Row],[Delivery Days]]&lt;=$W$2, "Timely", "Delayed")</f>
        <v>Delayed</v>
      </c>
      <c r="U943" t="s">
        <v>2923</v>
      </c>
    </row>
    <row r="944" spans="1:21" x14ac:dyDescent="0.25">
      <c r="A944" s="4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 s="6">
        <v>6537.1859999999997</v>
      </c>
      <c r="K944" t="s">
        <v>43</v>
      </c>
      <c r="L944" t="s">
        <v>2941</v>
      </c>
      <c r="M944">
        <v>0</v>
      </c>
      <c r="N944" t="s">
        <v>993</v>
      </c>
      <c r="O944" t="s">
        <v>2444</v>
      </c>
      <c r="P944">
        <v>35.729999999999997</v>
      </c>
      <c r="Q944" s="1">
        <v>45569</v>
      </c>
      <c r="R944" s="1">
        <v>45572</v>
      </c>
      <c r="S944" s="14">
        <f>Sales[[#This Row],[DeliveryDate]]-Sales[[#This Row],[OrderDate]]</f>
        <v>3</v>
      </c>
      <c r="T944" s="14" t="str">
        <f>IF(Sales[[#This Row],[Delivery Days]]&lt;=$W$2, "Timely", "Delayed")</f>
        <v>Timely</v>
      </c>
      <c r="U944" t="s">
        <v>2923</v>
      </c>
    </row>
    <row r="945" spans="1:21" x14ac:dyDescent="0.25">
      <c r="A945" s="4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 s="6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1">
        <v>45661</v>
      </c>
      <c r="R945" s="1">
        <v>45671</v>
      </c>
      <c r="S945" s="14">
        <f>Sales[[#This Row],[DeliveryDate]]-Sales[[#This Row],[OrderDate]]</f>
        <v>10</v>
      </c>
      <c r="T945" s="14" t="str">
        <f>IF(Sales[[#This Row],[Delivery Days]]&lt;=$W$2, "Timely", "Delayed")</f>
        <v>Delayed</v>
      </c>
      <c r="U945" t="s">
        <v>2923</v>
      </c>
    </row>
    <row r="946" spans="1:21" x14ac:dyDescent="0.25">
      <c r="A946" s="4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 s="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1">
        <v>45649</v>
      </c>
      <c r="R946" s="1">
        <v>45659</v>
      </c>
      <c r="S946" s="14">
        <f>Sales[[#This Row],[DeliveryDate]]-Sales[[#This Row],[OrderDate]]</f>
        <v>10</v>
      </c>
      <c r="T946" s="14" t="str">
        <f>IF(Sales[[#This Row],[Delivery Days]]&lt;=$W$2, "Timely", "Delayed")</f>
        <v>Delayed</v>
      </c>
      <c r="U946" t="s">
        <v>2925</v>
      </c>
    </row>
    <row r="947" spans="1:21" x14ac:dyDescent="0.25">
      <c r="A947" s="4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 s="6">
        <v>8654.4619999999995</v>
      </c>
      <c r="K947" t="s">
        <v>44</v>
      </c>
      <c r="L947" t="s">
        <v>2941</v>
      </c>
      <c r="M947">
        <v>0</v>
      </c>
      <c r="N947" t="s">
        <v>996</v>
      </c>
      <c r="O947" t="s">
        <v>2446</v>
      </c>
      <c r="P947">
        <v>26.12</v>
      </c>
      <c r="Q947" s="1">
        <v>44955</v>
      </c>
      <c r="R947" s="1">
        <v>44965</v>
      </c>
      <c r="S947" s="14">
        <f>Sales[[#This Row],[DeliveryDate]]-Sales[[#This Row],[OrderDate]]</f>
        <v>10</v>
      </c>
      <c r="T947" s="14" t="str">
        <f>IF(Sales[[#This Row],[Delivery Days]]&lt;=$W$2, "Timely", "Delayed")</f>
        <v>Delayed</v>
      </c>
      <c r="U947" t="s">
        <v>2925</v>
      </c>
    </row>
    <row r="948" spans="1:21" x14ac:dyDescent="0.25">
      <c r="A948" s="4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 s="6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1">
        <v>45515</v>
      </c>
      <c r="R948" s="1">
        <v>45521</v>
      </c>
      <c r="S948" s="14">
        <f>Sales[[#This Row],[DeliveryDate]]-Sales[[#This Row],[OrderDate]]</f>
        <v>6</v>
      </c>
      <c r="T948" s="14" t="str">
        <f>IF(Sales[[#This Row],[Delivery Days]]&lt;=$W$2, "Timely", "Delayed")</f>
        <v>Timely</v>
      </c>
      <c r="U948" t="s">
        <v>2926</v>
      </c>
    </row>
    <row r="949" spans="1:21" x14ac:dyDescent="0.25">
      <c r="A949" s="4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 s="6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1">
        <v>45255</v>
      </c>
      <c r="R949" s="1">
        <v>45260</v>
      </c>
      <c r="S949" s="14">
        <f>Sales[[#This Row],[DeliveryDate]]-Sales[[#This Row],[OrderDate]]</f>
        <v>5</v>
      </c>
      <c r="T949" s="14" t="str">
        <f>IF(Sales[[#This Row],[Delivery Days]]&lt;=$W$2, "Timely", "Delayed")</f>
        <v>Timely</v>
      </c>
      <c r="U949" t="s">
        <v>2924</v>
      </c>
    </row>
    <row r="950" spans="1:21" x14ac:dyDescent="0.25">
      <c r="A950" s="4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 s="6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1">
        <v>45720</v>
      </c>
      <c r="R950" s="1">
        <v>45724</v>
      </c>
      <c r="S950" s="14">
        <f>Sales[[#This Row],[DeliveryDate]]-Sales[[#This Row],[OrderDate]]</f>
        <v>4</v>
      </c>
      <c r="T950" s="14" t="str">
        <f>IF(Sales[[#This Row],[Delivery Days]]&lt;=$W$2, "Timely", "Delayed")</f>
        <v>Timely</v>
      </c>
      <c r="U950" t="s">
        <v>2924</v>
      </c>
    </row>
    <row r="951" spans="1:21" x14ac:dyDescent="0.25">
      <c r="A951" s="4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 s="6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1">
        <v>45709</v>
      </c>
      <c r="R951" s="1">
        <v>45717</v>
      </c>
      <c r="S951" s="14">
        <f>Sales[[#This Row],[DeliveryDate]]-Sales[[#This Row],[OrderDate]]</f>
        <v>8</v>
      </c>
      <c r="T951" s="14" t="str">
        <f>IF(Sales[[#This Row],[Delivery Days]]&lt;=$W$2, "Timely", "Delayed")</f>
        <v>Delayed</v>
      </c>
      <c r="U951" t="s">
        <v>2924</v>
      </c>
    </row>
    <row r="952" spans="1:21" x14ac:dyDescent="0.25">
      <c r="A952" s="4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 s="6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1">
        <v>45714</v>
      </c>
      <c r="R952" s="1">
        <v>45716</v>
      </c>
      <c r="S952" s="14">
        <f>Sales[[#This Row],[DeliveryDate]]-Sales[[#This Row],[OrderDate]]</f>
        <v>2</v>
      </c>
      <c r="T952" s="14" t="str">
        <f>IF(Sales[[#This Row],[Delivery Days]]&lt;=$W$2, "Timely", "Delayed")</f>
        <v>Timely</v>
      </c>
      <c r="U952" t="s">
        <v>2922</v>
      </c>
    </row>
    <row r="953" spans="1:21" x14ac:dyDescent="0.25">
      <c r="A953" s="4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 s="6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1">
        <v>45380</v>
      </c>
      <c r="R953" s="1">
        <v>45388</v>
      </c>
      <c r="S953" s="14">
        <f>Sales[[#This Row],[DeliveryDate]]-Sales[[#This Row],[OrderDate]]</f>
        <v>8</v>
      </c>
      <c r="T953" s="14" t="str">
        <f>IF(Sales[[#This Row],[Delivery Days]]&lt;=$W$2, "Timely", "Delayed")</f>
        <v>Delayed</v>
      </c>
      <c r="U953" t="s">
        <v>2922</v>
      </c>
    </row>
    <row r="954" spans="1:21" x14ac:dyDescent="0.25">
      <c r="A954" s="4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 s="6">
        <v>1410.27</v>
      </c>
      <c r="K954" t="s">
        <v>44</v>
      </c>
      <c r="L954" t="s">
        <v>2941</v>
      </c>
      <c r="M954">
        <v>0</v>
      </c>
      <c r="N954" t="s">
        <v>1003</v>
      </c>
      <c r="O954" t="s">
        <v>2452</v>
      </c>
      <c r="P954">
        <v>38.29</v>
      </c>
      <c r="Q954" s="1">
        <v>45805</v>
      </c>
      <c r="R954" s="1">
        <v>45809</v>
      </c>
      <c r="S954" s="14">
        <f>Sales[[#This Row],[DeliveryDate]]-Sales[[#This Row],[OrderDate]]</f>
        <v>4</v>
      </c>
      <c r="T954" s="14" t="str">
        <f>IF(Sales[[#This Row],[Delivery Days]]&lt;=$W$2, "Timely", "Delayed")</f>
        <v>Timely</v>
      </c>
      <c r="U954" t="s">
        <v>2926</v>
      </c>
    </row>
    <row r="955" spans="1:21" x14ac:dyDescent="0.25">
      <c r="A955" s="4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 s="6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1">
        <v>45436</v>
      </c>
      <c r="R955" s="1">
        <v>45442</v>
      </c>
      <c r="S955" s="14">
        <f>Sales[[#This Row],[DeliveryDate]]-Sales[[#This Row],[OrderDate]]</f>
        <v>6</v>
      </c>
      <c r="T955" s="14" t="str">
        <f>IF(Sales[[#This Row],[Delivery Days]]&lt;=$W$2, "Timely", "Delayed")</f>
        <v>Timely</v>
      </c>
      <c r="U955" t="s">
        <v>2926</v>
      </c>
    </row>
    <row r="956" spans="1:21" x14ac:dyDescent="0.25">
      <c r="A956" s="4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 s="6">
        <v>2036.5830000000001</v>
      </c>
      <c r="K956" t="s">
        <v>45</v>
      </c>
      <c r="L956" t="s">
        <v>2941</v>
      </c>
      <c r="M956">
        <v>0</v>
      </c>
      <c r="N956" t="s">
        <v>1005</v>
      </c>
      <c r="O956" t="s">
        <v>2454</v>
      </c>
      <c r="P956">
        <v>22.57</v>
      </c>
      <c r="Q956" s="1">
        <v>45058</v>
      </c>
      <c r="R956" s="1">
        <v>45063</v>
      </c>
      <c r="S956" s="14">
        <f>Sales[[#This Row],[DeliveryDate]]-Sales[[#This Row],[OrderDate]]</f>
        <v>5</v>
      </c>
      <c r="T956" s="14" t="str">
        <f>IF(Sales[[#This Row],[Delivery Days]]&lt;=$W$2, "Timely", "Delayed")</f>
        <v>Timely</v>
      </c>
      <c r="U956" t="s">
        <v>2923</v>
      </c>
    </row>
    <row r="957" spans="1:21" x14ac:dyDescent="0.25">
      <c r="A957" s="4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 s="6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1">
        <v>45210</v>
      </c>
      <c r="R957" s="1">
        <v>45214</v>
      </c>
      <c r="S957" s="14">
        <f>Sales[[#This Row],[DeliveryDate]]-Sales[[#This Row],[OrderDate]]</f>
        <v>4</v>
      </c>
      <c r="T957" s="14" t="str">
        <f>IF(Sales[[#This Row],[Delivery Days]]&lt;=$W$2, "Timely", "Delayed")</f>
        <v>Timely</v>
      </c>
      <c r="U957" t="s">
        <v>2923</v>
      </c>
    </row>
    <row r="958" spans="1:21" x14ac:dyDescent="0.25">
      <c r="A958" s="4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 s="6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1">
        <v>45316</v>
      </c>
      <c r="R958" s="1">
        <v>45323</v>
      </c>
      <c r="S958" s="14">
        <f>Sales[[#This Row],[DeliveryDate]]-Sales[[#This Row],[OrderDate]]</f>
        <v>7</v>
      </c>
      <c r="T958" s="14" t="str">
        <f>IF(Sales[[#This Row],[Delivery Days]]&lt;=$W$2, "Timely", "Delayed")</f>
        <v>Delayed</v>
      </c>
      <c r="U958" t="s">
        <v>2924</v>
      </c>
    </row>
    <row r="959" spans="1:21" x14ac:dyDescent="0.25">
      <c r="A959" s="4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 s="6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1">
        <v>44960</v>
      </c>
      <c r="R959" s="1">
        <v>44963</v>
      </c>
      <c r="S959" s="14">
        <f>Sales[[#This Row],[DeliveryDate]]-Sales[[#This Row],[OrderDate]]</f>
        <v>3</v>
      </c>
      <c r="T959" s="14" t="str">
        <f>IF(Sales[[#This Row],[Delivery Days]]&lt;=$W$2, "Timely", "Delayed")</f>
        <v>Timely</v>
      </c>
      <c r="U959" t="s">
        <v>2922</v>
      </c>
    </row>
    <row r="960" spans="1:21" x14ac:dyDescent="0.25">
      <c r="A960" s="4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 s="6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1">
        <v>45481</v>
      </c>
      <c r="R960" s="1">
        <v>45487</v>
      </c>
      <c r="S960" s="14">
        <f>Sales[[#This Row],[DeliveryDate]]-Sales[[#This Row],[OrderDate]]</f>
        <v>6</v>
      </c>
      <c r="T960" s="14" t="str">
        <f>IF(Sales[[#This Row],[Delivery Days]]&lt;=$W$2, "Timely", "Delayed")</f>
        <v>Timely</v>
      </c>
      <c r="U960" t="s">
        <v>2924</v>
      </c>
    </row>
    <row r="961" spans="1:21" x14ac:dyDescent="0.25">
      <c r="A961" s="4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 s="6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1">
        <v>45808</v>
      </c>
      <c r="R961" s="1">
        <v>45818</v>
      </c>
      <c r="S961" s="14">
        <f>Sales[[#This Row],[DeliveryDate]]-Sales[[#This Row],[OrderDate]]</f>
        <v>10</v>
      </c>
      <c r="T961" s="14" t="str">
        <f>IF(Sales[[#This Row],[Delivery Days]]&lt;=$W$2, "Timely", "Delayed")</f>
        <v>Delayed</v>
      </c>
      <c r="U961" t="s">
        <v>2923</v>
      </c>
    </row>
    <row r="962" spans="1:21" x14ac:dyDescent="0.25">
      <c r="A962" s="4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 s="6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1">
        <v>45239</v>
      </c>
      <c r="R962" s="1">
        <v>45242</v>
      </c>
      <c r="S962" s="14">
        <f>Sales[[#This Row],[DeliveryDate]]-Sales[[#This Row],[OrderDate]]</f>
        <v>3</v>
      </c>
      <c r="T962" s="14" t="str">
        <f>IF(Sales[[#This Row],[Delivery Days]]&lt;=$W$2, "Timely", "Delayed")</f>
        <v>Timely</v>
      </c>
      <c r="U962" t="s">
        <v>2923</v>
      </c>
    </row>
    <row r="963" spans="1:21" x14ac:dyDescent="0.25">
      <c r="A963" s="4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 s="6">
        <v>3017.7359999999999</v>
      </c>
      <c r="K963" t="s">
        <v>43</v>
      </c>
      <c r="L963" t="s">
        <v>2941</v>
      </c>
      <c r="M963">
        <v>1</v>
      </c>
      <c r="N963" t="s">
        <v>1012</v>
      </c>
      <c r="O963" t="s">
        <v>2459</v>
      </c>
      <c r="P963">
        <v>11.02</v>
      </c>
      <c r="Q963" s="1">
        <v>45113</v>
      </c>
      <c r="R963" s="1">
        <v>45117</v>
      </c>
      <c r="S963" s="14">
        <f>Sales[[#This Row],[DeliveryDate]]-Sales[[#This Row],[OrderDate]]</f>
        <v>4</v>
      </c>
      <c r="T963" s="14" t="str">
        <f>IF(Sales[[#This Row],[Delivery Days]]&lt;=$W$2, "Timely", "Delayed")</f>
        <v>Timely</v>
      </c>
      <c r="U963" t="s">
        <v>2924</v>
      </c>
    </row>
    <row r="964" spans="1:21" x14ac:dyDescent="0.25">
      <c r="A964" s="4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 s="6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1">
        <v>45121</v>
      </c>
      <c r="R964" s="1">
        <v>45129</v>
      </c>
      <c r="S964" s="14">
        <f>Sales[[#This Row],[DeliveryDate]]-Sales[[#This Row],[OrderDate]]</f>
        <v>8</v>
      </c>
      <c r="T964" s="14" t="str">
        <f>IF(Sales[[#This Row],[Delivery Days]]&lt;=$W$2, "Timely", "Delayed")</f>
        <v>Delayed</v>
      </c>
      <c r="U964" t="s">
        <v>2924</v>
      </c>
    </row>
    <row r="965" spans="1:21" x14ac:dyDescent="0.25">
      <c r="A965" s="4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 s="6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1">
        <v>45243</v>
      </c>
      <c r="R965" s="1">
        <v>45245</v>
      </c>
      <c r="S965" s="14">
        <f>Sales[[#This Row],[DeliveryDate]]-Sales[[#This Row],[OrderDate]]</f>
        <v>2</v>
      </c>
      <c r="T965" s="14" t="str">
        <f>IF(Sales[[#This Row],[Delivery Days]]&lt;=$W$2, "Timely", "Delayed")</f>
        <v>Timely</v>
      </c>
      <c r="U965" t="s">
        <v>2926</v>
      </c>
    </row>
    <row r="966" spans="1:21" x14ac:dyDescent="0.25">
      <c r="A966" s="4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 s="6">
        <v>1624.8705</v>
      </c>
      <c r="K966" t="s">
        <v>47</v>
      </c>
      <c r="L966" t="s">
        <v>2941</v>
      </c>
      <c r="M966">
        <v>0</v>
      </c>
      <c r="N966" t="s">
        <v>1015</v>
      </c>
      <c r="O966" t="s">
        <v>2462</v>
      </c>
      <c r="P966">
        <v>47.01</v>
      </c>
      <c r="Q966" s="1">
        <v>45690</v>
      </c>
      <c r="R966" s="1">
        <v>45700</v>
      </c>
      <c r="S966" s="14">
        <f>Sales[[#This Row],[DeliveryDate]]-Sales[[#This Row],[OrderDate]]</f>
        <v>10</v>
      </c>
      <c r="T966" s="14" t="str">
        <f>IF(Sales[[#This Row],[Delivery Days]]&lt;=$W$2, "Timely", "Delayed")</f>
        <v>Delayed</v>
      </c>
      <c r="U966" t="s">
        <v>2926</v>
      </c>
    </row>
    <row r="967" spans="1:21" x14ac:dyDescent="0.25">
      <c r="A967" s="4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 s="6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1">
        <v>45418</v>
      </c>
      <c r="R967" s="1">
        <v>45427</v>
      </c>
      <c r="S967" s="14">
        <f>Sales[[#This Row],[DeliveryDate]]-Sales[[#This Row],[OrderDate]]</f>
        <v>9</v>
      </c>
      <c r="T967" s="14" t="str">
        <f>IF(Sales[[#This Row],[Delivery Days]]&lt;=$W$2, "Timely", "Delayed")</f>
        <v>Delayed</v>
      </c>
      <c r="U967" t="s">
        <v>2923</v>
      </c>
    </row>
    <row r="968" spans="1:21" x14ac:dyDescent="0.25">
      <c r="A968" s="4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 s="6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1">
        <v>45582</v>
      </c>
      <c r="R968" s="1">
        <v>45584</v>
      </c>
      <c r="S968" s="14">
        <f>Sales[[#This Row],[DeliveryDate]]-Sales[[#This Row],[OrderDate]]</f>
        <v>2</v>
      </c>
      <c r="T968" s="14" t="str">
        <f>IF(Sales[[#This Row],[Delivery Days]]&lt;=$W$2, "Timely", "Delayed")</f>
        <v>Timely</v>
      </c>
      <c r="U968" t="s">
        <v>2923</v>
      </c>
    </row>
    <row r="969" spans="1:21" x14ac:dyDescent="0.25">
      <c r="A969" s="4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 s="6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1">
        <v>45686</v>
      </c>
      <c r="R969" s="1">
        <v>45693</v>
      </c>
      <c r="S969" s="14">
        <f>Sales[[#This Row],[DeliveryDate]]-Sales[[#This Row],[OrderDate]]</f>
        <v>7</v>
      </c>
      <c r="T969" s="14" t="str">
        <f>IF(Sales[[#This Row],[Delivery Days]]&lt;=$W$2, "Timely", "Delayed")</f>
        <v>Delayed</v>
      </c>
      <c r="U969" t="s">
        <v>2924</v>
      </c>
    </row>
    <row r="970" spans="1:21" x14ac:dyDescent="0.25">
      <c r="A970" s="4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 s="6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1">
        <v>45739</v>
      </c>
      <c r="R970" s="1">
        <v>45745</v>
      </c>
      <c r="S970" s="14">
        <f>Sales[[#This Row],[DeliveryDate]]-Sales[[#This Row],[OrderDate]]</f>
        <v>6</v>
      </c>
      <c r="T970" s="14" t="str">
        <f>IF(Sales[[#This Row],[Delivery Days]]&lt;=$W$2, "Timely", "Delayed")</f>
        <v>Timely</v>
      </c>
      <c r="U970" t="s">
        <v>2925</v>
      </c>
    </row>
    <row r="971" spans="1:21" x14ac:dyDescent="0.25">
      <c r="A971" s="4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 s="6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1">
        <v>45393</v>
      </c>
      <c r="R971" s="1">
        <v>45402</v>
      </c>
      <c r="S971" s="14">
        <f>Sales[[#This Row],[DeliveryDate]]-Sales[[#This Row],[OrderDate]]</f>
        <v>9</v>
      </c>
      <c r="T971" s="14" t="str">
        <f>IF(Sales[[#This Row],[Delivery Days]]&lt;=$W$2, "Timely", "Delayed")</f>
        <v>Delayed</v>
      </c>
      <c r="U971" t="s">
        <v>2926</v>
      </c>
    </row>
    <row r="972" spans="1:21" x14ac:dyDescent="0.25">
      <c r="A972" s="4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 s="6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1">
        <v>45415</v>
      </c>
      <c r="R972" s="1">
        <v>45424</v>
      </c>
      <c r="S972" s="14">
        <f>Sales[[#This Row],[DeliveryDate]]-Sales[[#This Row],[OrderDate]]</f>
        <v>9</v>
      </c>
      <c r="T972" s="14" t="str">
        <f>IF(Sales[[#This Row],[Delivery Days]]&lt;=$W$2, "Timely", "Delayed")</f>
        <v>Delayed</v>
      </c>
      <c r="U972" t="s">
        <v>2925</v>
      </c>
    </row>
    <row r="973" spans="1:21" x14ac:dyDescent="0.25">
      <c r="A973" s="4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 s="6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1">
        <v>45579</v>
      </c>
      <c r="R973" s="1">
        <v>45586</v>
      </c>
      <c r="S973" s="14">
        <f>Sales[[#This Row],[DeliveryDate]]-Sales[[#This Row],[OrderDate]]</f>
        <v>7</v>
      </c>
      <c r="T973" s="14" t="str">
        <f>IF(Sales[[#This Row],[Delivery Days]]&lt;=$W$2, "Timely", "Delayed")</f>
        <v>Delayed</v>
      </c>
      <c r="U973" t="s">
        <v>2922</v>
      </c>
    </row>
    <row r="974" spans="1:21" x14ac:dyDescent="0.25">
      <c r="A974" s="4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 s="6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1">
        <v>45330</v>
      </c>
      <c r="R974" s="1">
        <v>45335</v>
      </c>
      <c r="S974" s="14">
        <f>Sales[[#This Row],[DeliveryDate]]-Sales[[#This Row],[OrderDate]]</f>
        <v>5</v>
      </c>
      <c r="T974" s="14" t="str">
        <f>IF(Sales[[#This Row],[Delivery Days]]&lt;=$W$2, "Timely", "Delayed")</f>
        <v>Timely</v>
      </c>
      <c r="U974" t="s">
        <v>2926</v>
      </c>
    </row>
    <row r="975" spans="1:21" x14ac:dyDescent="0.25">
      <c r="A975" s="4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 s="6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1">
        <v>45056</v>
      </c>
      <c r="R975" s="1">
        <v>45059</v>
      </c>
      <c r="S975" s="14">
        <f>Sales[[#This Row],[DeliveryDate]]-Sales[[#This Row],[OrderDate]]</f>
        <v>3</v>
      </c>
      <c r="T975" s="14" t="str">
        <f>IF(Sales[[#This Row],[Delivery Days]]&lt;=$W$2, "Timely", "Delayed")</f>
        <v>Timely</v>
      </c>
      <c r="U975" t="s">
        <v>2925</v>
      </c>
    </row>
    <row r="976" spans="1:21" x14ac:dyDescent="0.25">
      <c r="A976" s="4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 s="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1">
        <v>44988</v>
      </c>
      <c r="R976" s="1">
        <v>44997</v>
      </c>
      <c r="S976" s="14">
        <f>Sales[[#This Row],[DeliveryDate]]-Sales[[#This Row],[OrderDate]]</f>
        <v>9</v>
      </c>
      <c r="T976" s="14" t="str">
        <f>IF(Sales[[#This Row],[Delivery Days]]&lt;=$W$2, "Timely", "Delayed")</f>
        <v>Delayed</v>
      </c>
      <c r="U976" t="s">
        <v>2924</v>
      </c>
    </row>
    <row r="977" spans="1:21" x14ac:dyDescent="0.25">
      <c r="A977" s="4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 s="6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1">
        <v>45798</v>
      </c>
      <c r="R977" s="1">
        <v>45804</v>
      </c>
      <c r="S977" s="14">
        <f>Sales[[#This Row],[DeliveryDate]]-Sales[[#This Row],[OrderDate]]</f>
        <v>6</v>
      </c>
      <c r="T977" s="14" t="str">
        <f>IF(Sales[[#This Row],[Delivery Days]]&lt;=$W$2, "Timely", "Delayed")</f>
        <v>Timely</v>
      </c>
      <c r="U977" t="s">
        <v>2925</v>
      </c>
    </row>
    <row r="978" spans="1:21" x14ac:dyDescent="0.25">
      <c r="A978" s="4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 s="6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1">
        <v>45777</v>
      </c>
      <c r="R978" s="1">
        <v>45784</v>
      </c>
      <c r="S978" s="14">
        <f>Sales[[#This Row],[DeliveryDate]]-Sales[[#This Row],[OrderDate]]</f>
        <v>7</v>
      </c>
      <c r="T978" s="14" t="str">
        <f>IF(Sales[[#This Row],[Delivery Days]]&lt;=$W$2, "Timely", "Delayed")</f>
        <v>Delayed</v>
      </c>
      <c r="U978" t="s">
        <v>2925</v>
      </c>
    </row>
    <row r="979" spans="1:21" x14ac:dyDescent="0.25">
      <c r="A979" s="4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 s="6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1">
        <v>45018</v>
      </c>
      <c r="R979" s="1">
        <v>45020</v>
      </c>
      <c r="S979" s="14">
        <f>Sales[[#This Row],[DeliveryDate]]-Sales[[#This Row],[OrderDate]]</f>
        <v>2</v>
      </c>
      <c r="T979" s="14" t="str">
        <f>IF(Sales[[#This Row],[Delivery Days]]&lt;=$W$2, "Timely", "Delayed")</f>
        <v>Timely</v>
      </c>
      <c r="U979" t="s">
        <v>2924</v>
      </c>
    </row>
    <row r="980" spans="1:21" x14ac:dyDescent="0.25">
      <c r="A980" s="4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 s="6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1">
        <v>45530</v>
      </c>
      <c r="R980" s="1">
        <v>45540</v>
      </c>
      <c r="S980" s="14">
        <f>Sales[[#This Row],[DeliveryDate]]-Sales[[#This Row],[OrderDate]]</f>
        <v>10</v>
      </c>
      <c r="T980" s="14" t="str">
        <f>IF(Sales[[#This Row],[Delivery Days]]&lt;=$W$2, "Timely", "Delayed")</f>
        <v>Delayed</v>
      </c>
      <c r="U980" t="s">
        <v>2924</v>
      </c>
    </row>
    <row r="981" spans="1:21" x14ac:dyDescent="0.25">
      <c r="A981" s="4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 s="6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1">
        <v>45240</v>
      </c>
      <c r="R981" s="1">
        <v>45250</v>
      </c>
      <c r="S981" s="14">
        <f>Sales[[#This Row],[DeliveryDate]]-Sales[[#This Row],[OrderDate]]</f>
        <v>10</v>
      </c>
      <c r="T981" s="14" t="str">
        <f>IF(Sales[[#This Row],[Delivery Days]]&lt;=$W$2, "Timely", "Delayed")</f>
        <v>Delayed</v>
      </c>
      <c r="U981" t="s">
        <v>2923</v>
      </c>
    </row>
    <row r="982" spans="1:21" x14ac:dyDescent="0.25">
      <c r="A982" s="4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 s="6">
        <v>10745.6</v>
      </c>
      <c r="K982" t="s">
        <v>43</v>
      </c>
      <c r="L982" t="s">
        <v>2941</v>
      </c>
      <c r="M982">
        <v>1</v>
      </c>
      <c r="N982" t="s">
        <v>1031</v>
      </c>
      <c r="O982" t="s">
        <v>2475</v>
      </c>
      <c r="P982">
        <v>15.6</v>
      </c>
      <c r="Q982" s="1">
        <v>45684</v>
      </c>
      <c r="R982" s="1">
        <v>45690</v>
      </c>
      <c r="S982" s="14">
        <f>Sales[[#This Row],[DeliveryDate]]-Sales[[#This Row],[OrderDate]]</f>
        <v>6</v>
      </c>
      <c r="T982" s="14" t="str">
        <f>IF(Sales[[#This Row],[Delivery Days]]&lt;=$W$2, "Timely", "Delayed")</f>
        <v>Timely</v>
      </c>
      <c r="U982" t="s">
        <v>2925</v>
      </c>
    </row>
    <row r="983" spans="1:21" x14ac:dyDescent="0.25">
      <c r="A983" s="4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 s="6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1">
        <v>45408</v>
      </c>
      <c r="R983" s="1">
        <v>45412</v>
      </c>
      <c r="S983" s="14">
        <f>Sales[[#This Row],[DeliveryDate]]-Sales[[#This Row],[OrderDate]]</f>
        <v>4</v>
      </c>
      <c r="T983" s="14" t="str">
        <f>IF(Sales[[#This Row],[Delivery Days]]&lt;=$W$2, "Timely", "Delayed")</f>
        <v>Timely</v>
      </c>
      <c r="U983" t="s">
        <v>2923</v>
      </c>
    </row>
    <row r="984" spans="1:21" x14ac:dyDescent="0.25">
      <c r="A984" s="4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 s="6">
        <v>878.04</v>
      </c>
      <c r="K984" t="s">
        <v>43</v>
      </c>
      <c r="L984" t="s">
        <v>2941</v>
      </c>
      <c r="M984">
        <v>0</v>
      </c>
      <c r="N984" t="s">
        <v>1033</v>
      </c>
      <c r="O984" t="s">
        <v>2477</v>
      </c>
      <c r="P984">
        <v>48.84</v>
      </c>
      <c r="Q984" s="1">
        <v>45257</v>
      </c>
      <c r="R984" s="1">
        <v>45261</v>
      </c>
      <c r="S984" s="14">
        <f>Sales[[#This Row],[DeliveryDate]]-Sales[[#This Row],[OrderDate]]</f>
        <v>4</v>
      </c>
      <c r="T984" s="14" t="str">
        <f>IF(Sales[[#This Row],[Delivery Days]]&lt;=$W$2, "Timely", "Delayed")</f>
        <v>Timely</v>
      </c>
      <c r="U984" t="s">
        <v>2922</v>
      </c>
    </row>
    <row r="985" spans="1:21" x14ac:dyDescent="0.25">
      <c r="A985" s="4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 s="6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1">
        <v>45015</v>
      </c>
      <c r="R985" s="1">
        <v>45022</v>
      </c>
      <c r="S985" s="14">
        <f>Sales[[#This Row],[DeliveryDate]]-Sales[[#This Row],[OrderDate]]</f>
        <v>7</v>
      </c>
      <c r="T985" s="14" t="str">
        <f>IF(Sales[[#This Row],[Delivery Days]]&lt;=$W$2, "Timely", "Delayed")</f>
        <v>Delayed</v>
      </c>
      <c r="U985" t="s">
        <v>2925</v>
      </c>
    </row>
    <row r="986" spans="1:21" x14ac:dyDescent="0.25">
      <c r="A986" s="4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 s="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1">
        <v>45355</v>
      </c>
      <c r="R986" s="1">
        <v>45362</v>
      </c>
      <c r="S986" s="14">
        <f>Sales[[#This Row],[DeliveryDate]]-Sales[[#This Row],[OrderDate]]</f>
        <v>7</v>
      </c>
      <c r="T986" s="14" t="str">
        <f>IF(Sales[[#This Row],[Delivery Days]]&lt;=$W$2, "Timely", "Delayed")</f>
        <v>Delayed</v>
      </c>
      <c r="U986" t="s">
        <v>2924</v>
      </c>
    </row>
    <row r="987" spans="1:21" x14ac:dyDescent="0.25">
      <c r="A987" s="4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 s="6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1">
        <v>45118</v>
      </c>
      <c r="R987" s="1">
        <v>45122</v>
      </c>
      <c r="S987" s="14">
        <f>Sales[[#This Row],[DeliveryDate]]-Sales[[#This Row],[OrderDate]]</f>
        <v>4</v>
      </c>
      <c r="T987" s="14" t="str">
        <f>IF(Sales[[#This Row],[Delivery Days]]&lt;=$W$2, "Timely", "Delayed")</f>
        <v>Timely</v>
      </c>
      <c r="U987" t="s">
        <v>2923</v>
      </c>
    </row>
    <row r="988" spans="1:21" x14ac:dyDescent="0.25">
      <c r="A988" s="4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 s="6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1">
        <v>45555</v>
      </c>
      <c r="R988" s="1">
        <v>45564</v>
      </c>
      <c r="S988" s="14">
        <f>Sales[[#This Row],[DeliveryDate]]-Sales[[#This Row],[OrderDate]]</f>
        <v>9</v>
      </c>
      <c r="T988" s="14" t="str">
        <f>IF(Sales[[#This Row],[Delivery Days]]&lt;=$W$2, "Timely", "Delayed")</f>
        <v>Delayed</v>
      </c>
      <c r="U988" t="s">
        <v>2926</v>
      </c>
    </row>
    <row r="989" spans="1:21" x14ac:dyDescent="0.25">
      <c r="A989" s="4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 s="6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1">
        <v>45706</v>
      </c>
      <c r="R989" s="1">
        <v>45712</v>
      </c>
      <c r="S989" s="14">
        <f>Sales[[#This Row],[DeliveryDate]]-Sales[[#This Row],[OrderDate]]</f>
        <v>6</v>
      </c>
      <c r="T989" s="14" t="str">
        <f>IF(Sales[[#This Row],[Delivery Days]]&lt;=$W$2, "Timely", "Delayed")</f>
        <v>Timely</v>
      </c>
      <c r="U989" t="s">
        <v>2926</v>
      </c>
    </row>
    <row r="990" spans="1:21" x14ac:dyDescent="0.25">
      <c r="A990" s="4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 s="6">
        <v>2965.837</v>
      </c>
      <c r="K990" t="s">
        <v>44</v>
      </c>
      <c r="L990" t="s">
        <v>2941</v>
      </c>
      <c r="M990">
        <v>0</v>
      </c>
      <c r="N990" t="s">
        <v>1039</v>
      </c>
      <c r="O990" t="s">
        <v>2483</v>
      </c>
      <c r="P990">
        <v>42.72</v>
      </c>
      <c r="Q990" s="1">
        <v>45489</v>
      </c>
      <c r="R990" s="1">
        <v>45493</v>
      </c>
      <c r="S990" s="14">
        <f>Sales[[#This Row],[DeliveryDate]]-Sales[[#This Row],[OrderDate]]</f>
        <v>4</v>
      </c>
      <c r="T990" s="14" t="str">
        <f>IF(Sales[[#This Row],[Delivery Days]]&lt;=$W$2, "Timely", "Delayed")</f>
        <v>Timely</v>
      </c>
      <c r="U990" t="s">
        <v>2922</v>
      </c>
    </row>
    <row r="991" spans="1:21" x14ac:dyDescent="0.25">
      <c r="A991" s="4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 s="6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1">
        <v>45253</v>
      </c>
      <c r="R991" s="1">
        <v>45255</v>
      </c>
      <c r="S991" s="14">
        <f>Sales[[#This Row],[DeliveryDate]]-Sales[[#This Row],[OrderDate]]</f>
        <v>2</v>
      </c>
      <c r="T991" s="14" t="str">
        <f>IF(Sales[[#This Row],[Delivery Days]]&lt;=$W$2, "Timely", "Delayed")</f>
        <v>Timely</v>
      </c>
      <c r="U991" t="s">
        <v>2922</v>
      </c>
    </row>
    <row r="992" spans="1:21" x14ac:dyDescent="0.25">
      <c r="A992" s="4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 s="6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1">
        <v>45176</v>
      </c>
      <c r="R992" s="1">
        <v>45178</v>
      </c>
      <c r="S992" s="14">
        <f>Sales[[#This Row],[DeliveryDate]]-Sales[[#This Row],[OrderDate]]</f>
        <v>2</v>
      </c>
      <c r="T992" s="14" t="str">
        <f>IF(Sales[[#This Row],[Delivery Days]]&lt;=$W$2, "Timely", "Delayed")</f>
        <v>Timely</v>
      </c>
      <c r="U992" t="s">
        <v>2923</v>
      </c>
    </row>
    <row r="993" spans="1:21" x14ac:dyDescent="0.25">
      <c r="A993" s="4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 s="6">
        <v>1880.1914999999999</v>
      </c>
      <c r="K993" t="s">
        <v>47</v>
      </c>
      <c r="L993" t="s">
        <v>2941</v>
      </c>
      <c r="M993">
        <v>1</v>
      </c>
      <c r="N993" t="s">
        <v>1042</v>
      </c>
      <c r="O993" t="s">
        <v>2486</v>
      </c>
      <c r="P993">
        <v>48.42</v>
      </c>
      <c r="Q993" s="1">
        <v>45323</v>
      </c>
      <c r="R993" s="1">
        <v>45326</v>
      </c>
      <c r="S993" s="14">
        <f>Sales[[#This Row],[DeliveryDate]]-Sales[[#This Row],[OrderDate]]</f>
        <v>3</v>
      </c>
      <c r="T993" s="14" t="str">
        <f>IF(Sales[[#This Row],[Delivery Days]]&lt;=$W$2, "Timely", "Delayed")</f>
        <v>Timely</v>
      </c>
      <c r="U993" t="s">
        <v>2926</v>
      </c>
    </row>
    <row r="994" spans="1:21" x14ac:dyDescent="0.25">
      <c r="A994" s="4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 s="6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1">
        <v>45785</v>
      </c>
      <c r="R994" s="1">
        <v>45789</v>
      </c>
      <c r="S994" s="14">
        <f>Sales[[#This Row],[DeliveryDate]]-Sales[[#This Row],[OrderDate]]</f>
        <v>4</v>
      </c>
      <c r="T994" s="14" t="str">
        <f>IF(Sales[[#This Row],[Delivery Days]]&lt;=$W$2, "Timely", "Delayed")</f>
        <v>Timely</v>
      </c>
      <c r="U994" t="s">
        <v>2923</v>
      </c>
    </row>
    <row r="995" spans="1:21" x14ac:dyDescent="0.25">
      <c r="A995" s="4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 s="6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1">
        <v>45674</v>
      </c>
      <c r="R995" s="1">
        <v>45681</v>
      </c>
      <c r="S995" s="14">
        <f>Sales[[#This Row],[DeliveryDate]]-Sales[[#This Row],[OrderDate]]</f>
        <v>7</v>
      </c>
      <c r="T995" s="14" t="str">
        <f>IF(Sales[[#This Row],[Delivery Days]]&lt;=$W$2, "Timely", "Delayed")</f>
        <v>Delayed</v>
      </c>
      <c r="U995" t="s">
        <v>2924</v>
      </c>
    </row>
    <row r="996" spans="1:21" x14ac:dyDescent="0.25">
      <c r="A996" s="4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 s="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1">
        <v>45171</v>
      </c>
      <c r="R996" s="1">
        <v>45177</v>
      </c>
      <c r="S996" s="14">
        <f>Sales[[#This Row],[DeliveryDate]]-Sales[[#This Row],[OrderDate]]</f>
        <v>6</v>
      </c>
      <c r="T996" s="14" t="str">
        <f>IF(Sales[[#This Row],[Delivery Days]]&lt;=$W$2, "Timely", "Delayed")</f>
        <v>Timely</v>
      </c>
      <c r="U996" t="s">
        <v>2922</v>
      </c>
    </row>
    <row r="997" spans="1:21" x14ac:dyDescent="0.25">
      <c r="A997" s="4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 s="6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1">
        <v>45100</v>
      </c>
      <c r="R997" s="1">
        <v>45108</v>
      </c>
      <c r="S997" s="14">
        <f>Sales[[#This Row],[DeliveryDate]]-Sales[[#This Row],[OrderDate]]</f>
        <v>8</v>
      </c>
      <c r="T997" s="14" t="str">
        <f>IF(Sales[[#This Row],[Delivery Days]]&lt;=$W$2, "Timely", "Delayed")</f>
        <v>Delayed</v>
      </c>
      <c r="U997" t="s">
        <v>2925</v>
      </c>
    </row>
    <row r="998" spans="1:21" x14ac:dyDescent="0.25">
      <c r="A998" s="4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 s="6">
        <v>8243.3970000000008</v>
      </c>
      <c r="K998" t="s">
        <v>45</v>
      </c>
      <c r="L998" t="s">
        <v>2941</v>
      </c>
      <c r="M998">
        <v>0</v>
      </c>
      <c r="N998" t="s">
        <v>1047</v>
      </c>
      <c r="O998" t="s">
        <v>2490</v>
      </c>
      <c r="P998">
        <v>25.96</v>
      </c>
      <c r="Q998" s="1">
        <v>45311</v>
      </c>
      <c r="R998" s="1">
        <v>45317</v>
      </c>
      <c r="S998" s="14">
        <f>Sales[[#This Row],[DeliveryDate]]-Sales[[#This Row],[OrderDate]]</f>
        <v>6</v>
      </c>
      <c r="T998" s="14" t="str">
        <f>IF(Sales[[#This Row],[Delivery Days]]&lt;=$W$2, "Timely", "Delayed")</f>
        <v>Timely</v>
      </c>
      <c r="U998" t="s">
        <v>2922</v>
      </c>
    </row>
    <row r="999" spans="1:21" x14ac:dyDescent="0.25">
      <c r="A999" s="4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 s="6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1">
        <v>45469</v>
      </c>
      <c r="R999" s="1">
        <v>45479</v>
      </c>
      <c r="S999" s="14">
        <f>Sales[[#This Row],[DeliveryDate]]-Sales[[#This Row],[OrderDate]]</f>
        <v>10</v>
      </c>
      <c r="T999" s="14" t="str">
        <f>IF(Sales[[#This Row],[Delivery Days]]&lt;=$W$2, "Timely", "Delayed")</f>
        <v>Delayed</v>
      </c>
      <c r="U999" t="s">
        <v>2922</v>
      </c>
    </row>
    <row r="1000" spans="1:21" x14ac:dyDescent="0.25">
      <c r="A1000" s="4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 s="6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1">
        <v>45638</v>
      </c>
      <c r="R1000" s="1">
        <v>45643</v>
      </c>
      <c r="S1000" s="14">
        <f>Sales[[#This Row],[DeliveryDate]]-Sales[[#This Row],[OrderDate]]</f>
        <v>5</v>
      </c>
      <c r="T1000" s="14" t="str">
        <f>IF(Sales[[#This Row],[Delivery Days]]&lt;=$W$2, "Timely", "Delayed")</f>
        <v>Timely</v>
      </c>
      <c r="U1000" t="s">
        <v>2925</v>
      </c>
    </row>
    <row r="1001" spans="1:21" x14ac:dyDescent="0.25">
      <c r="A1001" s="4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 s="6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1">
        <v>45343</v>
      </c>
      <c r="R1001" s="1">
        <v>45352</v>
      </c>
      <c r="S1001" s="14">
        <f>Sales[[#This Row],[DeliveryDate]]-Sales[[#This Row],[OrderDate]]</f>
        <v>9</v>
      </c>
      <c r="T1001" s="14" t="str">
        <f>IF(Sales[[#This Row],[Delivery Days]]&lt;=$W$2, "Timely", "Delayed")</f>
        <v>Delayed</v>
      </c>
      <c r="U1001" t="s">
        <v>2922</v>
      </c>
    </row>
    <row r="1002" spans="1:21" x14ac:dyDescent="0.25">
      <c r="A1002" s="4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 s="6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1">
        <v>45125</v>
      </c>
      <c r="R1002" s="1">
        <v>45132</v>
      </c>
      <c r="S1002" s="14">
        <f>Sales[[#This Row],[DeliveryDate]]-Sales[[#This Row],[OrderDate]]</f>
        <v>7</v>
      </c>
      <c r="T1002" s="14" t="str">
        <f>IF(Sales[[#This Row],[Delivery Days]]&lt;=$W$2, "Timely", "Delayed")</f>
        <v>Delayed</v>
      </c>
      <c r="U1002" t="s">
        <v>2922</v>
      </c>
    </row>
    <row r="1003" spans="1:21" x14ac:dyDescent="0.25">
      <c r="A1003" s="4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 s="6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1">
        <v>45567</v>
      </c>
      <c r="R1003" s="1">
        <v>45571</v>
      </c>
      <c r="S1003" s="14">
        <f>Sales[[#This Row],[DeliveryDate]]-Sales[[#This Row],[OrderDate]]</f>
        <v>4</v>
      </c>
      <c r="T1003" s="14" t="str">
        <f>IF(Sales[[#This Row],[Delivery Days]]&lt;=$W$2, "Timely", "Delayed")</f>
        <v>Timely</v>
      </c>
      <c r="U1003" t="s">
        <v>2924</v>
      </c>
    </row>
    <row r="1004" spans="1:21" x14ac:dyDescent="0.25">
      <c r="A1004" s="4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 s="6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1">
        <v>45627</v>
      </c>
      <c r="R1004" s="1">
        <v>45630</v>
      </c>
      <c r="S1004" s="14">
        <f>Sales[[#This Row],[DeliveryDate]]-Sales[[#This Row],[OrderDate]]</f>
        <v>3</v>
      </c>
      <c r="T1004" s="14" t="str">
        <f>IF(Sales[[#This Row],[Delivery Days]]&lt;=$W$2, "Timely", "Delayed")</f>
        <v>Timely</v>
      </c>
      <c r="U1004" t="s">
        <v>2926</v>
      </c>
    </row>
    <row r="1005" spans="1:21" x14ac:dyDescent="0.25">
      <c r="A1005" s="4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 s="6">
        <v>477.10500000000002</v>
      </c>
      <c r="K1005" t="s">
        <v>44</v>
      </c>
      <c r="L1005" t="s">
        <v>2941</v>
      </c>
      <c r="M1005">
        <v>0</v>
      </c>
      <c r="N1005" t="s">
        <v>1054</v>
      </c>
      <c r="O1005" t="s">
        <v>2496</v>
      </c>
      <c r="P1005">
        <v>5.19</v>
      </c>
      <c r="Q1005" s="1">
        <v>45538</v>
      </c>
      <c r="R1005" s="1">
        <v>45547</v>
      </c>
      <c r="S1005" s="14">
        <f>Sales[[#This Row],[DeliveryDate]]-Sales[[#This Row],[OrderDate]]</f>
        <v>9</v>
      </c>
      <c r="T1005" s="14" t="str">
        <f>IF(Sales[[#This Row],[Delivery Days]]&lt;=$W$2, "Timely", "Delayed")</f>
        <v>Delayed</v>
      </c>
      <c r="U1005" t="s">
        <v>2922</v>
      </c>
    </row>
    <row r="1006" spans="1:21" x14ac:dyDescent="0.25">
      <c r="A1006" s="4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 s="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1">
        <v>45710</v>
      </c>
      <c r="R1006" s="1">
        <v>45717</v>
      </c>
      <c r="S1006" s="14">
        <f>Sales[[#This Row],[DeliveryDate]]-Sales[[#This Row],[OrderDate]]</f>
        <v>7</v>
      </c>
      <c r="T1006" s="14" t="str">
        <f>IF(Sales[[#This Row],[Delivery Days]]&lt;=$W$2, "Timely", "Delayed")</f>
        <v>Delayed</v>
      </c>
      <c r="U1006" t="s">
        <v>2926</v>
      </c>
    </row>
    <row r="1007" spans="1:21" x14ac:dyDescent="0.25">
      <c r="A1007" s="4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 s="6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1">
        <v>45788</v>
      </c>
      <c r="R1007" s="1">
        <v>45790</v>
      </c>
      <c r="S1007" s="14">
        <f>Sales[[#This Row],[DeliveryDate]]-Sales[[#This Row],[OrderDate]]</f>
        <v>2</v>
      </c>
      <c r="T1007" s="14" t="str">
        <f>IF(Sales[[#This Row],[Delivery Days]]&lt;=$W$2, "Timely", "Delayed")</f>
        <v>Timely</v>
      </c>
      <c r="U1007" t="s">
        <v>2926</v>
      </c>
    </row>
    <row r="1008" spans="1:21" x14ac:dyDescent="0.25">
      <c r="A1008" s="4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 s="6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1">
        <v>45646</v>
      </c>
      <c r="R1008" s="1">
        <v>45655</v>
      </c>
      <c r="S1008" s="14">
        <f>Sales[[#This Row],[DeliveryDate]]-Sales[[#This Row],[OrderDate]]</f>
        <v>9</v>
      </c>
      <c r="T1008" s="14" t="str">
        <f>IF(Sales[[#This Row],[Delivery Days]]&lt;=$W$2, "Timely", "Delayed")</f>
        <v>Delayed</v>
      </c>
      <c r="U1008" t="s">
        <v>2925</v>
      </c>
    </row>
    <row r="1009" spans="1:21" x14ac:dyDescent="0.25">
      <c r="A1009" s="4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 s="6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1">
        <v>45034</v>
      </c>
      <c r="R1009" s="1">
        <v>45037</v>
      </c>
      <c r="S1009" s="14">
        <f>Sales[[#This Row],[DeliveryDate]]-Sales[[#This Row],[OrderDate]]</f>
        <v>3</v>
      </c>
      <c r="T1009" s="14" t="str">
        <f>IF(Sales[[#This Row],[Delivery Days]]&lt;=$W$2, "Timely", "Delayed")</f>
        <v>Timely</v>
      </c>
      <c r="U1009" t="s">
        <v>2922</v>
      </c>
    </row>
    <row r="1010" spans="1:21" x14ac:dyDescent="0.25">
      <c r="A1010" s="4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 s="6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1">
        <v>45533</v>
      </c>
      <c r="R1010" s="1">
        <v>45538</v>
      </c>
      <c r="S1010" s="14">
        <f>Sales[[#This Row],[DeliveryDate]]-Sales[[#This Row],[OrderDate]]</f>
        <v>5</v>
      </c>
      <c r="T1010" s="14" t="str">
        <f>IF(Sales[[#This Row],[Delivery Days]]&lt;=$W$2, "Timely", "Delayed")</f>
        <v>Timely</v>
      </c>
      <c r="U1010" t="s">
        <v>2922</v>
      </c>
    </row>
    <row r="1011" spans="1:21" x14ac:dyDescent="0.25">
      <c r="A1011" s="4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 s="6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1">
        <v>45172</v>
      </c>
      <c r="R1011" s="1">
        <v>45179</v>
      </c>
      <c r="S1011" s="14">
        <f>Sales[[#This Row],[DeliveryDate]]-Sales[[#This Row],[OrderDate]]</f>
        <v>7</v>
      </c>
      <c r="T1011" s="14" t="str">
        <f>IF(Sales[[#This Row],[Delivery Days]]&lt;=$W$2, "Timely", "Delayed")</f>
        <v>Delayed</v>
      </c>
      <c r="U1011" t="s">
        <v>2924</v>
      </c>
    </row>
    <row r="1012" spans="1:21" x14ac:dyDescent="0.25">
      <c r="A1012" s="4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 s="6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1">
        <v>45796</v>
      </c>
      <c r="R1012" s="1">
        <v>45801</v>
      </c>
      <c r="S1012" s="14">
        <f>Sales[[#This Row],[DeliveryDate]]-Sales[[#This Row],[OrderDate]]</f>
        <v>5</v>
      </c>
      <c r="T1012" s="14" t="str">
        <f>IF(Sales[[#This Row],[Delivery Days]]&lt;=$W$2, "Timely", "Delayed")</f>
        <v>Timely</v>
      </c>
      <c r="U1012" t="s">
        <v>2922</v>
      </c>
    </row>
    <row r="1013" spans="1:21" x14ac:dyDescent="0.25">
      <c r="A1013" s="4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 s="6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1">
        <v>45095</v>
      </c>
      <c r="R1013" s="1">
        <v>45103</v>
      </c>
      <c r="S1013" s="14">
        <f>Sales[[#This Row],[DeliveryDate]]-Sales[[#This Row],[OrderDate]]</f>
        <v>8</v>
      </c>
      <c r="T1013" s="14" t="str">
        <f>IF(Sales[[#This Row],[Delivery Days]]&lt;=$W$2, "Timely", "Delayed")</f>
        <v>Delayed</v>
      </c>
      <c r="U1013" t="s">
        <v>2922</v>
      </c>
    </row>
    <row r="1014" spans="1:21" x14ac:dyDescent="0.25">
      <c r="A1014" s="4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 s="6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1">
        <v>45826</v>
      </c>
      <c r="R1014" s="1">
        <v>45830</v>
      </c>
      <c r="S1014" s="14">
        <f>Sales[[#This Row],[DeliveryDate]]-Sales[[#This Row],[OrderDate]]</f>
        <v>4</v>
      </c>
      <c r="T1014" s="14" t="str">
        <f>IF(Sales[[#This Row],[Delivery Days]]&lt;=$W$2, "Timely", "Delayed")</f>
        <v>Timely</v>
      </c>
      <c r="U1014" t="s">
        <v>2926</v>
      </c>
    </row>
    <row r="1015" spans="1:21" x14ac:dyDescent="0.25">
      <c r="A1015" s="4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 s="6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1">
        <v>45564</v>
      </c>
      <c r="R1015" s="1">
        <v>45572</v>
      </c>
      <c r="S1015" s="14">
        <f>Sales[[#This Row],[DeliveryDate]]-Sales[[#This Row],[OrderDate]]</f>
        <v>8</v>
      </c>
      <c r="T1015" s="14" t="str">
        <f>IF(Sales[[#This Row],[Delivery Days]]&lt;=$W$2, "Timely", "Delayed")</f>
        <v>Delayed</v>
      </c>
      <c r="U1015" t="s">
        <v>2923</v>
      </c>
    </row>
    <row r="1016" spans="1:21" x14ac:dyDescent="0.25">
      <c r="A1016" s="4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 s="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1">
        <v>45347</v>
      </c>
      <c r="R1016" s="1">
        <v>45355</v>
      </c>
      <c r="S1016" s="14">
        <f>Sales[[#This Row],[DeliveryDate]]-Sales[[#This Row],[OrderDate]]</f>
        <v>8</v>
      </c>
      <c r="T1016" s="14" t="str">
        <f>IF(Sales[[#This Row],[Delivery Days]]&lt;=$W$2, "Timely", "Delayed")</f>
        <v>Delayed</v>
      </c>
      <c r="U1016" t="s">
        <v>2922</v>
      </c>
    </row>
    <row r="1017" spans="1:21" x14ac:dyDescent="0.25">
      <c r="A1017" s="4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 s="6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1">
        <v>45372</v>
      </c>
      <c r="R1017" s="1">
        <v>45381</v>
      </c>
      <c r="S1017" s="14">
        <f>Sales[[#This Row],[DeliveryDate]]-Sales[[#This Row],[OrderDate]]</f>
        <v>9</v>
      </c>
      <c r="T1017" s="14" t="str">
        <f>IF(Sales[[#This Row],[Delivery Days]]&lt;=$W$2, "Timely", "Delayed")</f>
        <v>Delayed</v>
      </c>
      <c r="U1017" t="s">
        <v>2924</v>
      </c>
    </row>
    <row r="1018" spans="1:21" x14ac:dyDescent="0.25">
      <c r="A1018" s="4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 s="6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1">
        <v>45325</v>
      </c>
      <c r="R1018" s="1">
        <v>45331</v>
      </c>
      <c r="S1018" s="14">
        <f>Sales[[#This Row],[DeliveryDate]]-Sales[[#This Row],[OrderDate]]</f>
        <v>6</v>
      </c>
      <c r="T1018" s="14" t="str">
        <f>IF(Sales[[#This Row],[Delivery Days]]&lt;=$W$2, "Timely", "Delayed")</f>
        <v>Timely</v>
      </c>
      <c r="U1018" t="s">
        <v>2924</v>
      </c>
    </row>
    <row r="1019" spans="1:21" x14ac:dyDescent="0.25">
      <c r="A1019" s="4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 s="6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1">
        <v>45251</v>
      </c>
      <c r="R1019" s="1">
        <v>45254</v>
      </c>
      <c r="S1019" s="14">
        <f>Sales[[#This Row],[DeliveryDate]]-Sales[[#This Row],[OrderDate]]</f>
        <v>3</v>
      </c>
      <c r="T1019" s="14" t="str">
        <f>IF(Sales[[#This Row],[Delivery Days]]&lt;=$W$2, "Timely", "Delayed")</f>
        <v>Timely</v>
      </c>
      <c r="U1019" t="s">
        <v>2923</v>
      </c>
    </row>
    <row r="1020" spans="1:21" x14ac:dyDescent="0.25">
      <c r="A1020" s="4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 s="6">
        <v>3513.72</v>
      </c>
      <c r="K1020" t="s">
        <v>46</v>
      </c>
      <c r="L1020" t="s">
        <v>2941</v>
      </c>
      <c r="M1020">
        <v>0</v>
      </c>
      <c r="N1020" t="s">
        <v>1069</v>
      </c>
      <c r="O1020" t="s">
        <v>2510</v>
      </c>
      <c r="P1020">
        <v>14.94</v>
      </c>
      <c r="Q1020" s="1">
        <v>44936</v>
      </c>
      <c r="R1020" s="1">
        <v>44944</v>
      </c>
      <c r="S1020" s="14">
        <f>Sales[[#This Row],[DeliveryDate]]-Sales[[#This Row],[OrderDate]]</f>
        <v>8</v>
      </c>
      <c r="T1020" s="14" t="str">
        <f>IF(Sales[[#This Row],[Delivery Days]]&lt;=$W$2, "Timely", "Delayed")</f>
        <v>Delayed</v>
      </c>
      <c r="U1020" t="s">
        <v>2926</v>
      </c>
    </row>
    <row r="1021" spans="1:21" x14ac:dyDescent="0.25">
      <c r="A1021" s="4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 s="6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1">
        <v>44963</v>
      </c>
      <c r="R1021" s="1">
        <v>44967</v>
      </c>
      <c r="S1021" s="14">
        <f>Sales[[#This Row],[DeliveryDate]]-Sales[[#This Row],[OrderDate]]</f>
        <v>4</v>
      </c>
      <c r="T1021" s="14" t="str">
        <f>IF(Sales[[#This Row],[Delivery Days]]&lt;=$W$2, "Timely", "Delayed")</f>
        <v>Timely</v>
      </c>
      <c r="U1021" t="s">
        <v>2925</v>
      </c>
    </row>
    <row r="1022" spans="1:21" x14ac:dyDescent="0.25">
      <c r="A1022" s="4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 s="6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1">
        <v>45757</v>
      </c>
      <c r="R1022" s="1">
        <v>45767</v>
      </c>
      <c r="S1022" s="14">
        <f>Sales[[#This Row],[DeliveryDate]]-Sales[[#This Row],[OrderDate]]</f>
        <v>10</v>
      </c>
      <c r="T1022" s="14" t="str">
        <f>IF(Sales[[#This Row],[Delivery Days]]&lt;=$W$2, "Timely", "Delayed")</f>
        <v>Delayed</v>
      </c>
      <c r="U1022" t="s">
        <v>2924</v>
      </c>
    </row>
    <row r="1023" spans="1:21" x14ac:dyDescent="0.25">
      <c r="A1023" s="4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 s="6">
        <v>515.49849999999992</v>
      </c>
      <c r="K1023" t="s">
        <v>45</v>
      </c>
      <c r="L1023" t="s">
        <v>2941</v>
      </c>
      <c r="M1023">
        <v>0</v>
      </c>
      <c r="N1023" t="s">
        <v>1072</v>
      </c>
      <c r="O1023" t="s">
        <v>2511</v>
      </c>
      <c r="P1023">
        <v>33.200000000000003</v>
      </c>
      <c r="Q1023" s="1">
        <v>45336</v>
      </c>
      <c r="R1023" s="1">
        <v>45343</v>
      </c>
      <c r="S1023" s="14">
        <f>Sales[[#This Row],[DeliveryDate]]-Sales[[#This Row],[OrderDate]]</f>
        <v>7</v>
      </c>
      <c r="T1023" s="14" t="str">
        <f>IF(Sales[[#This Row],[Delivery Days]]&lt;=$W$2, "Timely", "Delayed")</f>
        <v>Delayed</v>
      </c>
      <c r="U1023" t="s">
        <v>2922</v>
      </c>
    </row>
    <row r="1024" spans="1:21" x14ac:dyDescent="0.25">
      <c r="A1024" s="4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 s="6">
        <v>184.08600000000001</v>
      </c>
      <c r="K1024" t="s">
        <v>43</v>
      </c>
      <c r="L1024" t="s">
        <v>2941</v>
      </c>
      <c r="M1024">
        <v>1</v>
      </c>
      <c r="N1024" t="s">
        <v>1073</v>
      </c>
      <c r="O1024" t="s">
        <v>2512</v>
      </c>
      <c r="P1024">
        <v>17.760000000000002</v>
      </c>
      <c r="Q1024" s="1">
        <v>45803</v>
      </c>
      <c r="R1024" s="1">
        <v>45806</v>
      </c>
      <c r="S1024" s="14">
        <f>Sales[[#This Row],[DeliveryDate]]-Sales[[#This Row],[OrderDate]]</f>
        <v>3</v>
      </c>
      <c r="T1024" s="14" t="str">
        <f>IF(Sales[[#This Row],[Delivery Days]]&lt;=$W$2, "Timely", "Delayed")</f>
        <v>Timely</v>
      </c>
      <c r="U1024" t="s">
        <v>2922</v>
      </c>
    </row>
    <row r="1025" spans="1:21" x14ac:dyDescent="0.25">
      <c r="A1025" s="4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 s="6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1">
        <v>45181</v>
      </c>
      <c r="R1025" s="1">
        <v>45188</v>
      </c>
      <c r="S1025" s="14">
        <f>Sales[[#This Row],[DeliveryDate]]-Sales[[#This Row],[OrderDate]]</f>
        <v>7</v>
      </c>
      <c r="T1025" s="14" t="str">
        <f>IF(Sales[[#This Row],[Delivery Days]]&lt;=$W$2, "Timely", "Delayed")</f>
        <v>Delayed</v>
      </c>
      <c r="U1025" t="s">
        <v>2926</v>
      </c>
    </row>
    <row r="1026" spans="1:21" x14ac:dyDescent="0.25">
      <c r="A1026" s="4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 s="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1">
        <v>45063</v>
      </c>
      <c r="R1026" s="1">
        <v>45072</v>
      </c>
      <c r="S1026" s="14">
        <f>Sales[[#This Row],[DeliveryDate]]-Sales[[#This Row],[OrderDate]]</f>
        <v>9</v>
      </c>
      <c r="T1026" s="14" t="str">
        <f>IF(Sales[[#This Row],[Delivery Days]]&lt;=$W$2, "Timely", "Delayed")</f>
        <v>Delayed</v>
      </c>
      <c r="U1026" t="s">
        <v>2922</v>
      </c>
    </row>
    <row r="1027" spans="1:21" x14ac:dyDescent="0.25">
      <c r="A1027" s="4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 s="6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1">
        <v>45320</v>
      </c>
      <c r="R1027" s="1">
        <v>45322</v>
      </c>
      <c r="S1027" s="14">
        <f>Sales[[#This Row],[DeliveryDate]]-Sales[[#This Row],[OrderDate]]</f>
        <v>2</v>
      </c>
      <c r="T1027" s="14" t="str">
        <f>IF(Sales[[#This Row],[Delivery Days]]&lt;=$W$2, "Timely", "Delayed")</f>
        <v>Timely</v>
      </c>
      <c r="U1027" t="s">
        <v>2926</v>
      </c>
    </row>
    <row r="1028" spans="1:21" x14ac:dyDescent="0.25">
      <c r="A1028" s="4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 s="6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1">
        <v>45786</v>
      </c>
      <c r="R1028" s="1">
        <v>45795</v>
      </c>
      <c r="S1028" s="14">
        <f>Sales[[#This Row],[DeliveryDate]]-Sales[[#This Row],[OrderDate]]</f>
        <v>9</v>
      </c>
      <c r="T1028" s="14" t="str">
        <f>IF(Sales[[#This Row],[Delivery Days]]&lt;=$W$2, "Timely", "Delayed")</f>
        <v>Delayed</v>
      </c>
      <c r="U1028" t="s">
        <v>2924</v>
      </c>
    </row>
    <row r="1029" spans="1:21" x14ac:dyDescent="0.25">
      <c r="A1029" s="4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 s="6">
        <v>1642.36</v>
      </c>
      <c r="K1029" t="s">
        <v>47</v>
      </c>
      <c r="L1029" t="s">
        <v>2941</v>
      </c>
      <c r="M1029">
        <v>0</v>
      </c>
      <c r="N1029" t="s">
        <v>1078</v>
      </c>
      <c r="O1029" t="s">
        <v>2516</v>
      </c>
      <c r="P1029">
        <v>17.36</v>
      </c>
      <c r="Q1029" s="1">
        <v>45387</v>
      </c>
      <c r="R1029" s="1">
        <v>45391</v>
      </c>
      <c r="S1029" s="14">
        <f>Sales[[#This Row],[DeliveryDate]]-Sales[[#This Row],[OrderDate]]</f>
        <v>4</v>
      </c>
      <c r="T1029" s="14" t="str">
        <f>IF(Sales[[#This Row],[Delivery Days]]&lt;=$W$2, "Timely", "Delayed")</f>
        <v>Timely</v>
      </c>
      <c r="U1029" t="s">
        <v>2922</v>
      </c>
    </row>
    <row r="1030" spans="1:21" x14ac:dyDescent="0.25">
      <c r="A1030" s="4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 s="6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1">
        <v>45505</v>
      </c>
      <c r="R1030" s="1">
        <v>45514</v>
      </c>
      <c r="S1030" s="14">
        <f>Sales[[#This Row],[DeliveryDate]]-Sales[[#This Row],[OrderDate]]</f>
        <v>9</v>
      </c>
      <c r="T1030" s="14" t="str">
        <f>IF(Sales[[#This Row],[Delivery Days]]&lt;=$W$2, "Timely", "Delayed")</f>
        <v>Delayed</v>
      </c>
      <c r="U1030" t="s">
        <v>2923</v>
      </c>
    </row>
    <row r="1031" spans="1:21" x14ac:dyDescent="0.25">
      <c r="A1031" s="4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 s="6">
        <v>3003.2</v>
      </c>
      <c r="K1031" t="s">
        <v>47</v>
      </c>
      <c r="L1031" t="s">
        <v>2941</v>
      </c>
      <c r="M1031">
        <v>0</v>
      </c>
      <c r="N1031" t="s">
        <v>1080</v>
      </c>
      <c r="O1031" t="s">
        <v>2518</v>
      </c>
      <c r="P1031">
        <v>41.66</v>
      </c>
      <c r="Q1031" s="1">
        <v>45483</v>
      </c>
      <c r="R1031" s="1">
        <v>45485</v>
      </c>
      <c r="S1031" s="14">
        <f>Sales[[#This Row],[DeliveryDate]]-Sales[[#This Row],[OrderDate]]</f>
        <v>2</v>
      </c>
      <c r="T1031" s="14" t="str">
        <f>IF(Sales[[#This Row],[Delivery Days]]&lt;=$W$2, "Timely", "Delayed")</f>
        <v>Timely</v>
      </c>
      <c r="U1031" t="s">
        <v>2923</v>
      </c>
    </row>
    <row r="1032" spans="1:21" x14ac:dyDescent="0.25">
      <c r="A1032" s="4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 s="6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1">
        <v>45458</v>
      </c>
      <c r="R1032" s="1">
        <v>45463</v>
      </c>
      <c r="S1032" s="14">
        <f>Sales[[#This Row],[DeliveryDate]]-Sales[[#This Row],[OrderDate]]</f>
        <v>5</v>
      </c>
      <c r="T1032" s="14" t="str">
        <f>IF(Sales[[#This Row],[Delivery Days]]&lt;=$W$2, "Timely", "Delayed")</f>
        <v>Timely</v>
      </c>
      <c r="U1032" t="s">
        <v>2922</v>
      </c>
    </row>
    <row r="1033" spans="1:21" x14ac:dyDescent="0.25">
      <c r="A1033" s="4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 s="6">
        <v>2730.4380000000001</v>
      </c>
      <c r="K1033" t="s">
        <v>43</v>
      </c>
      <c r="L1033" t="s">
        <v>2941</v>
      </c>
      <c r="M1033">
        <v>0</v>
      </c>
      <c r="N1033" t="s">
        <v>1082</v>
      </c>
      <c r="O1033" t="s">
        <v>2520</v>
      </c>
      <c r="P1033">
        <v>48.66</v>
      </c>
      <c r="Q1033" s="1">
        <v>45434</v>
      </c>
      <c r="R1033" s="1">
        <v>45441</v>
      </c>
      <c r="S1033" s="14">
        <f>Sales[[#This Row],[DeliveryDate]]-Sales[[#This Row],[OrderDate]]</f>
        <v>7</v>
      </c>
      <c r="T1033" s="14" t="str">
        <f>IF(Sales[[#This Row],[Delivery Days]]&lt;=$W$2, "Timely", "Delayed")</f>
        <v>Delayed</v>
      </c>
      <c r="U1033" t="s">
        <v>2922</v>
      </c>
    </row>
    <row r="1034" spans="1:21" x14ac:dyDescent="0.25">
      <c r="A1034" s="4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 s="6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1">
        <v>45305</v>
      </c>
      <c r="R1034" s="1">
        <v>45309</v>
      </c>
      <c r="S1034" s="14">
        <f>Sales[[#This Row],[DeliveryDate]]-Sales[[#This Row],[OrderDate]]</f>
        <v>4</v>
      </c>
      <c r="T1034" s="14" t="str">
        <f>IF(Sales[[#This Row],[Delivery Days]]&lt;=$W$2, "Timely", "Delayed")</f>
        <v>Timely</v>
      </c>
      <c r="U1034" t="s">
        <v>2922</v>
      </c>
    </row>
    <row r="1035" spans="1:21" x14ac:dyDescent="0.25">
      <c r="A1035" s="4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 s="6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1">
        <v>45596</v>
      </c>
      <c r="R1035" s="1">
        <v>45598</v>
      </c>
      <c r="S1035" s="14">
        <f>Sales[[#This Row],[DeliveryDate]]-Sales[[#This Row],[OrderDate]]</f>
        <v>2</v>
      </c>
      <c r="T1035" s="14" t="str">
        <f>IF(Sales[[#This Row],[Delivery Days]]&lt;=$W$2, "Timely", "Delayed")</f>
        <v>Timely</v>
      </c>
      <c r="U1035" t="s">
        <v>2924</v>
      </c>
    </row>
    <row r="1036" spans="1:21" x14ac:dyDescent="0.25">
      <c r="A1036" s="4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 s="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1">
        <v>45405</v>
      </c>
      <c r="R1036" s="1">
        <v>45411</v>
      </c>
      <c r="S1036" s="14">
        <f>Sales[[#This Row],[DeliveryDate]]-Sales[[#This Row],[OrderDate]]</f>
        <v>6</v>
      </c>
      <c r="T1036" s="14" t="str">
        <f>IF(Sales[[#This Row],[Delivery Days]]&lt;=$W$2, "Timely", "Delayed")</f>
        <v>Timely</v>
      </c>
      <c r="U1036" t="s">
        <v>2926</v>
      </c>
    </row>
    <row r="1037" spans="1:21" x14ac:dyDescent="0.25">
      <c r="A1037" s="4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 s="6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1">
        <v>45091</v>
      </c>
      <c r="R1037" s="1">
        <v>45097</v>
      </c>
      <c r="S1037" s="14">
        <f>Sales[[#This Row],[DeliveryDate]]-Sales[[#This Row],[OrderDate]]</f>
        <v>6</v>
      </c>
      <c r="T1037" s="14" t="str">
        <f>IF(Sales[[#This Row],[Delivery Days]]&lt;=$W$2, "Timely", "Delayed")</f>
        <v>Timely</v>
      </c>
      <c r="U1037" t="s">
        <v>2923</v>
      </c>
    </row>
    <row r="1038" spans="1:21" x14ac:dyDescent="0.25">
      <c r="A1038" s="4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 s="6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1">
        <v>45350</v>
      </c>
      <c r="R1038" s="1">
        <v>45353</v>
      </c>
      <c r="S1038" s="14">
        <f>Sales[[#This Row],[DeliveryDate]]-Sales[[#This Row],[OrderDate]]</f>
        <v>3</v>
      </c>
      <c r="T1038" s="14" t="str">
        <f>IF(Sales[[#This Row],[Delivery Days]]&lt;=$W$2, "Timely", "Delayed")</f>
        <v>Timely</v>
      </c>
      <c r="U1038" t="s">
        <v>2924</v>
      </c>
    </row>
    <row r="1039" spans="1:21" x14ac:dyDescent="0.25">
      <c r="A1039" s="4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 s="6">
        <v>756.58949999999993</v>
      </c>
      <c r="K1039" t="s">
        <v>43</v>
      </c>
      <c r="L1039" t="s">
        <v>2941</v>
      </c>
      <c r="M1039">
        <v>0</v>
      </c>
      <c r="N1039" t="s">
        <v>1088</v>
      </c>
      <c r="O1039" t="s">
        <v>2525</v>
      </c>
      <c r="P1039">
        <v>35.6</v>
      </c>
      <c r="Q1039" s="1">
        <v>45462</v>
      </c>
      <c r="R1039" s="1">
        <v>45469</v>
      </c>
      <c r="S1039" s="14">
        <f>Sales[[#This Row],[DeliveryDate]]-Sales[[#This Row],[OrderDate]]</f>
        <v>7</v>
      </c>
      <c r="T1039" s="14" t="str">
        <f>IF(Sales[[#This Row],[Delivery Days]]&lt;=$W$2, "Timely", "Delayed")</f>
        <v>Delayed</v>
      </c>
      <c r="U1039" t="s">
        <v>2923</v>
      </c>
    </row>
    <row r="1040" spans="1:21" x14ac:dyDescent="0.25">
      <c r="A1040" s="4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 s="6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1">
        <v>45003</v>
      </c>
      <c r="R1040" s="1">
        <v>45005</v>
      </c>
      <c r="S1040" s="14">
        <f>Sales[[#This Row],[DeliveryDate]]-Sales[[#This Row],[OrderDate]]</f>
        <v>2</v>
      </c>
      <c r="T1040" s="14" t="str">
        <f>IF(Sales[[#This Row],[Delivery Days]]&lt;=$W$2, "Timely", "Delayed")</f>
        <v>Timely</v>
      </c>
      <c r="U1040" t="s">
        <v>2925</v>
      </c>
    </row>
    <row r="1041" spans="1:21" x14ac:dyDescent="0.25">
      <c r="A1041" s="4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 s="6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1">
        <v>45006</v>
      </c>
      <c r="R1041" s="1">
        <v>45016</v>
      </c>
      <c r="S1041" s="14">
        <f>Sales[[#This Row],[DeliveryDate]]-Sales[[#This Row],[OrderDate]]</f>
        <v>10</v>
      </c>
      <c r="T1041" s="14" t="str">
        <f>IF(Sales[[#This Row],[Delivery Days]]&lt;=$W$2, "Timely", "Delayed")</f>
        <v>Delayed</v>
      </c>
      <c r="U1041" t="s">
        <v>2926</v>
      </c>
    </row>
    <row r="1042" spans="1:21" x14ac:dyDescent="0.25">
      <c r="A1042" s="4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 s="6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1">
        <v>45440</v>
      </c>
      <c r="R1042" s="1">
        <v>45444</v>
      </c>
      <c r="S1042" s="14">
        <f>Sales[[#This Row],[DeliveryDate]]-Sales[[#This Row],[OrderDate]]</f>
        <v>4</v>
      </c>
      <c r="T1042" s="14" t="str">
        <f>IF(Sales[[#This Row],[Delivery Days]]&lt;=$W$2, "Timely", "Delayed")</f>
        <v>Timely</v>
      </c>
      <c r="U1042" t="s">
        <v>2922</v>
      </c>
    </row>
    <row r="1043" spans="1:21" x14ac:dyDescent="0.25">
      <c r="A1043" s="4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 s="6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1">
        <v>45012</v>
      </c>
      <c r="R1043" s="1">
        <v>45015</v>
      </c>
      <c r="S1043" s="14">
        <f>Sales[[#This Row],[DeliveryDate]]-Sales[[#This Row],[OrderDate]]</f>
        <v>3</v>
      </c>
      <c r="T1043" s="14" t="str">
        <f>IF(Sales[[#This Row],[Delivery Days]]&lt;=$W$2, "Timely", "Delayed")</f>
        <v>Timely</v>
      </c>
      <c r="U1043" t="s">
        <v>2926</v>
      </c>
    </row>
    <row r="1044" spans="1:21" x14ac:dyDescent="0.25">
      <c r="A1044" s="4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 s="6">
        <v>123.4</v>
      </c>
      <c r="K1044" t="s">
        <v>47</v>
      </c>
      <c r="L1044" t="s">
        <v>2941</v>
      </c>
      <c r="M1044">
        <v>1</v>
      </c>
      <c r="N1044" t="s">
        <v>1093</v>
      </c>
      <c r="O1044" t="s">
        <v>2530</v>
      </c>
      <c r="P1044">
        <v>12.63</v>
      </c>
      <c r="Q1044" s="1">
        <v>45096</v>
      </c>
      <c r="R1044" s="1">
        <v>45102</v>
      </c>
      <c r="S1044" s="14">
        <f>Sales[[#This Row],[DeliveryDate]]-Sales[[#This Row],[OrderDate]]</f>
        <v>6</v>
      </c>
      <c r="T1044" s="14" t="str">
        <f>IF(Sales[[#This Row],[Delivery Days]]&lt;=$W$2, "Timely", "Delayed")</f>
        <v>Timely</v>
      </c>
      <c r="U1044" t="s">
        <v>2925</v>
      </c>
    </row>
    <row r="1045" spans="1:21" x14ac:dyDescent="0.25">
      <c r="A1045" s="4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 s="6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1">
        <v>45230</v>
      </c>
      <c r="R1045" s="1">
        <v>45237</v>
      </c>
      <c r="S1045" s="14">
        <f>Sales[[#This Row],[DeliveryDate]]-Sales[[#This Row],[OrderDate]]</f>
        <v>7</v>
      </c>
      <c r="T1045" s="14" t="str">
        <f>IF(Sales[[#This Row],[Delivery Days]]&lt;=$W$2, "Timely", "Delayed")</f>
        <v>Delayed</v>
      </c>
      <c r="U1045" t="s">
        <v>2923</v>
      </c>
    </row>
    <row r="1046" spans="1:21" x14ac:dyDescent="0.25">
      <c r="A1046" s="4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 s="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1">
        <v>45118</v>
      </c>
      <c r="R1046" s="1">
        <v>45125</v>
      </c>
      <c r="S1046" s="14">
        <f>Sales[[#This Row],[DeliveryDate]]-Sales[[#This Row],[OrderDate]]</f>
        <v>7</v>
      </c>
      <c r="T1046" s="14" t="str">
        <f>IF(Sales[[#This Row],[Delivery Days]]&lt;=$W$2, "Timely", "Delayed")</f>
        <v>Delayed</v>
      </c>
      <c r="U1046" t="s">
        <v>2926</v>
      </c>
    </row>
    <row r="1047" spans="1:21" x14ac:dyDescent="0.25">
      <c r="A1047" s="4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 s="6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1">
        <v>45065</v>
      </c>
      <c r="R1047" s="1">
        <v>45074</v>
      </c>
      <c r="S1047" s="14">
        <f>Sales[[#This Row],[DeliveryDate]]-Sales[[#This Row],[OrderDate]]</f>
        <v>9</v>
      </c>
      <c r="T1047" s="14" t="str">
        <f>IF(Sales[[#This Row],[Delivery Days]]&lt;=$W$2, "Timely", "Delayed")</f>
        <v>Delayed</v>
      </c>
      <c r="U1047" t="s">
        <v>2923</v>
      </c>
    </row>
    <row r="1048" spans="1:21" x14ac:dyDescent="0.25">
      <c r="A1048" s="4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 s="6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1">
        <v>45143</v>
      </c>
      <c r="R1048" s="1">
        <v>45148</v>
      </c>
      <c r="S1048" s="14">
        <f>Sales[[#This Row],[DeliveryDate]]-Sales[[#This Row],[OrderDate]]</f>
        <v>5</v>
      </c>
      <c r="T1048" s="14" t="str">
        <f>IF(Sales[[#This Row],[Delivery Days]]&lt;=$W$2, "Timely", "Delayed")</f>
        <v>Timely</v>
      </c>
      <c r="U1048" t="s">
        <v>2924</v>
      </c>
    </row>
    <row r="1049" spans="1:21" x14ac:dyDescent="0.25">
      <c r="A1049" s="4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 s="6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1">
        <v>45009</v>
      </c>
      <c r="R1049" s="1">
        <v>45019</v>
      </c>
      <c r="S1049" s="14">
        <f>Sales[[#This Row],[DeliveryDate]]-Sales[[#This Row],[OrderDate]]</f>
        <v>10</v>
      </c>
      <c r="T1049" s="14" t="str">
        <f>IF(Sales[[#This Row],[Delivery Days]]&lt;=$W$2, "Timely", "Delayed")</f>
        <v>Delayed</v>
      </c>
      <c r="U1049" t="s">
        <v>2926</v>
      </c>
    </row>
    <row r="1050" spans="1:21" x14ac:dyDescent="0.25">
      <c r="A1050" s="4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 s="6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1">
        <v>45702</v>
      </c>
      <c r="R1050" s="1">
        <v>45705</v>
      </c>
      <c r="S1050" s="14">
        <f>Sales[[#This Row],[DeliveryDate]]-Sales[[#This Row],[OrderDate]]</f>
        <v>3</v>
      </c>
      <c r="T1050" s="14" t="str">
        <f>IF(Sales[[#This Row],[Delivery Days]]&lt;=$W$2, "Timely", "Delayed")</f>
        <v>Timely</v>
      </c>
      <c r="U1050" t="s">
        <v>2926</v>
      </c>
    </row>
    <row r="1051" spans="1:21" x14ac:dyDescent="0.25">
      <c r="A1051" s="4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 s="6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1">
        <v>45640</v>
      </c>
      <c r="R1051" s="1">
        <v>45642</v>
      </c>
      <c r="S1051" s="14">
        <f>Sales[[#This Row],[DeliveryDate]]-Sales[[#This Row],[OrderDate]]</f>
        <v>2</v>
      </c>
      <c r="T1051" s="14" t="str">
        <f>IF(Sales[[#This Row],[Delivery Days]]&lt;=$W$2, "Timely", "Delayed")</f>
        <v>Timely</v>
      </c>
      <c r="U1051" t="s">
        <v>2924</v>
      </c>
    </row>
    <row r="1052" spans="1:21" x14ac:dyDescent="0.25">
      <c r="A1052" s="4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 s="6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1">
        <v>45105</v>
      </c>
      <c r="R1052" s="1">
        <v>45108</v>
      </c>
      <c r="S1052" s="14">
        <f>Sales[[#This Row],[DeliveryDate]]-Sales[[#This Row],[OrderDate]]</f>
        <v>3</v>
      </c>
      <c r="T1052" s="14" t="str">
        <f>IF(Sales[[#This Row],[Delivery Days]]&lt;=$W$2, "Timely", "Delayed")</f>
        <v>Timely</v>
      </c>
      <c r="U1052" t="s">
        <v>2923</v>
      </c>
    </row>
    <row r="1053" spans="1:21" x14ac:dyDescent="0.25">
      <c r="A1053" s="4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 s="6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1">
        <v>44950</v>
      </c>
      <c r="R1053" s="1">
        <v>44954</v>
      </c>
      <c r="S1053" s="14">
        <f>Sales[[#This Row],[DeliveryDate]]-Sales[[#This Row],[OrderDate]]</f>
        <v>4</v>
      </c>
      <c r="T1053" s="14" t="str">
        <f>IF(Sales[[#This Row],[Delivery Days]]&lt;=$W$2, "Timely", "Delayed")</f>
        <v>Timely</v>
      </c>
      <c r="U1053" t="s">
        <v>2926</v>
      </c>
    </row>
    <row r="1054" spans="1:21" x14ac:dyDescent="0.25">
      <c r="A1054" s="4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 s="6">
        <v>7216.58</v>
      </c>
      <c r="K1054" t="s">
        <v>46</v>
      </c>
      <c r="L1054" t="s">
        <v>2941</v>
      </c>
      <c r="M1054">
        <v>0</v>
      </c>
      <c r="N1054" t="s">
        <v>1103</v>
      </c>
      <c r="O1054" t="s">
        <v>1984</v>
      </c>
      <c r="P1054">
        <v>44.76</v>
      </c>
      <c r="Q1054" s="1">
        <v>45464</v>
      </c>
      <c r="R1054" s="1">
        <v>45473</v>
      </c>
      <c r="S1054" s="14">
        <f>Sales[[#This Row],[DeliveryDate]]-Sales[[#This Row],[OrderDate]]</f>
        <v>9</v>
      </c>
      <c r="T1054" s="14" t="str">
        <f>IF(Sales[[#This Row],[Delivery Days]]&lt;=$W$2, "Timely", "Delayed")</f>
        <v>Delayed</v>
      </c>
      <c r="U1054" t="s">
        <v>2925</v>
      </c>
    </row>
    <row r="1055" spans="1:21" x14ac:dyDescent="0.25">
      <c r="A1055" s="4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 s="6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1">
        <v>45756</v>
      </c>
      <c r="R1055" s="1">
        <v>45765</v>
      </c>
      <c r="S1055" s="14">
        <f>Sales[[#This Row],[DeliveryDate]]-Sales[[#This Row],[OrderDate]]</f>
        <v>9</v>
      </c>
      <c r="T1055" s="14" t="str">
        <f>IF(Sales[[#This Row],[Delivery Days]]&lt;=$W$2, "Timely", "Delayed")</f>
        <v>Delayed</v>
      </c>
      <c r="U1055" t="s">
        <v>2924</v>
      </c>
    </row>
    <row r="1056" spans="1:21" x14ac:dyDescent="0.25">
      <c r="A1056" s="4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 s="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1">
        <v>45668</v>
      </c>
      <c r="R1056" s="1">
        <v>45676</v>
      </c>
      <c r="S1056" s="14">
        <f>Sales[[#This Row],[DeliveryDate]]-Sales[[#This Row],[OrderDate]]</f>
        <v>8</v>
      </c>
      <c r="T1056" s="14" t="str">
        <f>IF(Sales[[#This Row],[Delivery Days]]&lt;=$W$2, "Timely", "Delayed")</f>
        <v>Delayed</v>
      </c>
      <c r="U1056" t="s">
        <v>2924</v>
      </c>
    </row>
    <row r="1057" spans="1:21" x14ac:dyDescent="0.25">
      <c r="A1057" s="4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 s="6">
        <v>3886.83</v>
      </c>
      <c r="K1057" t="s">
        <v>46</v>
      </c>
      <c r="L1057" t="s">
        <v>2941</v>
      </c>
      <c r="M1057">
        <v>0</v>
      </c>
      <c r="N1057" t="s">
        <v>1106</v>
      </c>
      <c r="O1057" t="s">
        <v>2540</v>
      </c>
      <c r="P1057">
        <v>32.86</v>
      </c>
      <c r="Q1057" s="1">
        <v>45486</v>
      </c>
      <c r="R1057" s="1">
        <v>45493</v>
      </c>
      <c r="S1057" s="14">
        <f>Sales[[#This Row],[DeliveryDate]]-Sales[[#This Row],[OrderDate]]</f>
        <v>7</v>
      </c>
      <c r="T1057" s="14" t="str">
        <f>IF(Sales[[#This Row],[Delivery Days]]&lt;=$W$2, "Timely", "Delayed")</f>
        <v>Delayed</v>
      </c>
      <c r="U1057" t="s">
        <v>2925</v>
      </c>
    </row>
    <row r="1058" spans="1:21" x14ac:dyDescent="0.25">
      <c r="A1058" s="4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 s="6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1">
        <v>45661</v>
      </c>
      <c r="R1058" s="1">
        <v>45667</v>
      </c>
      <c r="S1058" s="14">
        <f>Sales[[#This Row],[DeliveryDate]]-Sales[[#This Row],[OrderDate]]</f>
        <v>6</v>
      </c>
      <c r="T1058" s="14" t="str">
        <f>IF(Sales[[#This Row],[Delivery Days]]&lt;=$W$2, "Timely", "Delayed")</f>
        <v>Timely</v>
      </c>
      <c r="U1058" t="s">
        <v>2926</v>
      </c>
    </row>
    <row r="1059" spans="1:21" x14ac:dyDescent="0.25">
      <c r="A1059" s="4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 s="6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1">
        <v>45224</v>
      </c>
      <c r="R1059" s="1">
        <v>45230</v>
      </c>
      <c r="S1059" s="14">
        <f>Sales[[#This Row],[DeliveryDate]]-Sales[[#This Row],[OrderDate]]</f>
        <v>6</v>
      </c>
      <c r="T1059" s="14" t="str">
        <f>IF(Sales[[#This Row],[Delivery Days]]&lt;=$W$2, "Timely", "Delayed")</f>
        <v>Timely</v>
      </c>
      <c r="U1059" t="s">
        <v>2926</v>
      </c>
    </row>
    <row r="1060" spans="1:21" x14ac:dyDescent="0.25">
      <c r="A1060" s="4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 s="6">
        <v>2505.6640000000002</v>
      </c>
      <c r="K1060" t="s">
        <v>44</v>
      </c>
      <c r="L1060" t="s">
        <v>2941</v>
      </c>
      <c r="M1060">
        <v>0</v>
      </c>
      <c r="N1060" t="s">
        <v>1109</v>
      </c>
      <c r="O1060" t="s">
        <v>2543</v>
      </c>
      <c r="P1060">
        <v>44.49</v>
      </c>
      <c r="Q1060" s="1">
        <v>45199</v>
      </c>
      <c r="R1060" s="1">
        <v>45201</v>
      </c>
      <c r="S1060" s="14">
        <f>Sales[[#This Row],[DeliveryDate]]-Sales[[#This Row],[OrderDate]]</f>
        <v>2</v>
      </c>
      <c r="T1060" s="14" t="str">
        <f>IF(Sales[[#This Row],[Delivery Days]]&lt;=$W$2, "Timely", "Delayed")</f>
        <v>Timely</v>
      </c>
      <c r="U1060" t="s">
        <v>2923</v>
      </c>
    </row>
    <row r="1061" spans="1:21" x14ac:dyDescent="0.25">
      <c r="A1061" s="4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 s="6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1">
        <v>45001</v>
      </c>
      <c r="R1061" s="1">
        <v>45011</v>
      </c>
      <c r="S1061" s="14">
        <f>Sales[[#This Row],[DeliveryDate]]-Sales[[#This Row],[OrderDate]]</f>
        <v>10</v>
      </c>
      <c r="T1061" s="14" t="str">
        <f>IF(Sales[[#This Row],[Delivery Days]]&lt;=$W$2, "Timely", "Delayed")</f>
        <v>Delayed</v>
      </c>
      <c r="U1061" t="s">
        <v>2924</v>
      </c>
    </row>
    <row r="1062" spans="1:21" x14ac:dyDescent="0.25">
      <c r="A1062" s="4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 s="6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1">
        <v>45133</v>
      </c>
      <c r="R1062" s="1">
        <v>45140</v>
      </c>
      <c r="S1062" s="14">
        <f>Sales[[#This Row],[DeliveryDate]]-Sales[[#This Row],[OrderDate]]</f>
        <v>7</v>
      </c>
      <c r="T1062" s="14" t="str">
        <f>IF(Sales[[#This Row],[Delivery Days]]&lt;=$W$2, "Timely", "Delayed")</f>
        <v>Delayed</v>
      </c>
      <c r="U1062" t="s">
        <v>2924</v>
      </c>
    </row>
    <row r="1063" spans="1:21" x14ac:dyDescent="0.25">
      <c r="A1063" s="4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 s="6">
        <v>622.38299999999992</v>
      </c>
      <c r="K1063" t="s">
        <v>46</v>
      </c>
      <c r="L1063" t="s">
        <v>2941</v>
      </c>
      <c r="M1063">
        <v>0</v>
      </c>
      <c r="N1063" t="s">
        <v>1112</v>
      </c>
      <c r="O1063" t="s">
        <v>2545</v>
      </c>
      <c r="P1063">
        <v>19.489999999999998</v>
      </c>
      <c r="Q1063" s="1">
        <v>45117</v>
      </c>
      <c r="R1063" s="1">
        <v>45126</v>
      </c>
      <c r="S1063" s="14">
        <f>Sales[[#This Row],[DeliveryDate]]-Sales[[#This Row],[OrderDate]]</f>
        <v>9</v>
      </c>
      <c r="T1063" s="14" t="str">
        <f>IF(Sales[[#This Row],[Delivery Days]]&lt;=$W$2, "Timely", "Delayed")</f>
        <v>Delayed</v>
      </c>
      <c r="U1063" t="s">
        <v>2922</v>
      </c>
    </row>
    <row r="1064" spans="1:21" x14ac:dyDescent="0.25">
      <c r="A1064" s="4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 s="6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1">
        <v>45510</v>
      </c>
      <c r="R1064" s="1">
        <v>45520</v>
      </c>
      <c r="S1064" s="14">
        <f>Sales[[#This Row],[DeliveryDate]]-Sales[[#This Row],[OrderDate]]</f>
        <v>10</v>
      </c>
      <c r="T1064" s="14" t="str">
        <f>IF(Sales[[#This Row],[Delivery Days]]&lt;=$W$2, "Timely", "Delayed")</f>
        <v>Delayed</v>
      </c>
      <c r="U1064" t="s">
        <v>2922</v>
      </c>
    </row>
    <row r="1065" spans="1:21" x14ac:dyDescent="0.25">
      <c r="A1065" s="4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 s="6">
        <v>3784.788</v>
      </c>
      <c r="K1065" t="s">
        <v>43</v>
      </c>
      <c r="L1065" t="s">
        <v>2941</v>
      </c>
      <c r="M1065">
        <v>0</v>
      </c>
      <c r="N1065" t="s">
        <v>1114</v>
      </c>
      <c r="O1065" t="s">
        <v>2547</v>
      </c>
      <c r="P1065">
        <v>38.6</v>
      </c>
      <c r="Q1065" s="1">
        <v>45489</v>
      </c>
      <c r="R1065" s="1">
        <v>45492</v>
      </c>
      <c r="S1065" s="14">
        <f>Sales[[#This Row],[DeliveryDate]]-Sales[[#This Row],[OrderDate]]</f>
        <v>3</v>
      </c>
      <c r="T1065" s="14" t="str">
        <f>IF(Sales[[#This Row],[Delivery Days]]&lt;=$W$2, "Timely", "Delayed")</f>
        <v>Timely</v>
      </c>
      <c r="U1065" t="s">
        <v>2925</v>
      </c>
    </row>
    <row r="1066" spans="1:21" x14ac:dyDescent="0.25">
      <c r="A1066" s="4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 s="6">
        <v>1161.45</v>
      </c>
      <c r="K1066" t="s">
        <v>43</v>
      </c>
      <c r="L1066" t="s">
        <v>2941</v>
      </c>
      <c r="M1066">
        <v>1</v>
      </c>
      <c r="N1066" t="s">
        <v>1115</v>
      </c>
      <c r="O1066" t="s">
        <v>2548</v>
      </c>
      <c r="P1066">
        <v>42.38</v>
      </c>
      <c r="Q1066" s="1">
        <v>45322</v>
      </c>
      <c r="R1066" s="1">
        <v>45331</v>
      </c>
      <c r="S1066" s="14">
        <f>Sales[[#This Row],[DeliveryDate]]-Sales[[#This Row],[OrderDate]]</f>
        <v>9</v>
      </c>
      <c r="T1066" s="14" t="str">
        <f>IF(Sales[[#This Row],[Delivery Days]]&lt;=$W$2, "Timely", "Delayed")</f>
        <v>Delayed</v>
      </c>
      <c r="U1066" t="s">
        <v>2924</v>
      </c>
    </row>
    <row r="1067" spans="1:21" x14ac:dyDescent="0.25">
      <c r="A1067" s="4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 s="6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1">
        <v>45038</v>
      </c>
      <c r="R1067" s="1">
        <v>45040</v>
      </c>
      <c r="S1067" s="14">
        <f>Sales[[#This Row],[DeliveryDate]]-Sales[[#This Row],[OrderDate]]</f>
        <v>2</v>
      </c>
      <c r="T1067" s="14" t="str">
        <f>IF(Sales[[#This Row],[Delivery Days]]&lt;=$W$2, "Timely", "Delayed")</f>
        <v>Timely</v>
      </c>
      <c r="U1067" t="s">
        <v>2925</v>
      </c>
    </row>
    <row r="1068" spans="1:21" x14ac:dyDescent="0.25">
      <c r="A1068" s="4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 s="6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1">
        <v>45692</v>
      </c>
      <c r="R1068" s="1">
        <v>45695</v>
      </c>
      <c r="S1068" s="14">
        <f>Sales[[#This Row],[DeliveryDate]]-Sales[[#This Row],[OrderDate]]</f>
        <v>3</v>
      </c>
      <c r="T1068" s="14" t="str">
        <f>IF(Sales[[#This Row],[Delivery Days]]&lt;=$W$2, "Timely", "Delayed")</f>
        <v>Timely</v>
      </c>
      <c r="U1068" t="s">
        <v>2922</v>
      </c>
    </row>
    <row r="1069" spans="1:21" x14ac:dyDescent="0.25">
      <c r="A1069" s="4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 s="6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1">
        <v>45529</v>
      </c>
      <c r="R1069" s="1">
        <v>45538</v>
      </c>
      <c r="S1069" s="14">
        <f>Sales[[#This Row],[DeliveryDate]]-Sales[[#This Row],[OrderDate]]</f>
        <v>9</v>
      </c>
      <c r="T1069" s="14" t="str">
        <f>IF(Sales[[#This Row],[Delivery Days]]&lt;=$W$2, "Timely", "Delayed")</f>
        <v>Delayed</v>
      </c>
      <c r="U1069" t="s">
        <v>2925</v>
      </c>
    </row>
    <row r="1070" spans="1:21" x14ac:dyDescent="0.25">
      <c r="A1070" s="4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 s="6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1">
        <v>45168</v>
      </c>
      <c r="R1070" s="1">
        <v>45174</v>
      </c>
      <c r="S1070" s="14">
        <f>Sales[[#This Row],[DeliveryDate]]-Sales[[#This Row],[OrderDate]]</f>
        <v>6</v>
      </c>
      <c r="T1070" s="14" t="str">
        <f>IF(Sales[[#This Row],[Delivery Days]]&lt;=$W$2, "Timely", "Delayed")</f>
        <v>Timely</v>
      </c>
      <c r="U1070" t="s">
        <v>2922</v>
      </c>
    </row>
    <row r="1071" spans="1:21" x14ac:dyDescent="0.25">
      <c r="A1071" s="4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 s="6">
        <v>891.96450000000004</v>
      </c>
      <c r="K1071" t="s">
        <v>45</v>
      </c>
      <c r="L1071" t="s">
        <v>2941</v>
      </c>
      <c r="M1071">
        <v>1</v>
      </c>
      <c r="N1071" t="s">
        <v>1120</v>
      </c>
      <c r="O1071" t="s">
        <v>2552</v>
      </c>
      <c r="P1071">
        <v>20.059999999999999</v>
      </c>
      <c r="Q1071" s="1">
        <v>45175</v>
      </c>
      <c r="R1071" s="1">
        <v>45181</v>
      </c>
      <c r="S1071" s="14">
        <f>Sales[[#This Row],[DeliveryDate]]-Sales[[#This Row],[OrderDate]]</f>
        <v>6</v>
      </c>
      <c r="T1071" s="14" t="str">
        <f>IF(Sales[[#This Row],[Delivery Days]]&lt;=$W$2, "Timely", "Delayed")</f>
        <v>Timely</v>
      </c>
      <c r="U1071" t="s">
        <v>2926</v>
      </c>
    </row>
    <row r="1072" spans="1:21" x14ac:dyDescent="0.25">
      <c r="A1072" s="4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 s="6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1">
        <v>45790</v>
      </c>
      <c r="R1072" s="1">
        <v>45798</v>
      </c>
      <c r="S1072" s="14">
        <f>Sales[[#This Row],[DeliveryDate]]-Sales[[#This Row],[OrderDate]]</f>
        <v>8</v>
      </c>
      <c r="T1072" s="14" t="str">
        <f>IF(Sales[[#This Row],[Delivery Days]]&lt;=$W$2, "Timely", "Delayed")</f>
        <v>Delayed</v>
      </c>
      <c r="U1072" t="s">
        <v>2923</v>
      </c>
    </row>
    <row r="1073" spans="1:21" x14ac:dyDescent="0.25">
      <c r="A1073" s="4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 s="6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1">
        <v>45228</v>
      </c>
      <c r="R1073" s="1">
        <v>45236</v>
      </c>
      <c r="S1073" s="14">
        <f>Sales[[#This Row],[DeliveryDate]]-Sales[[#This Row],[OrderDate]]</f>
        <v>8</v>
      </c>
      <c r="T1073" s="14" t="str">
        <f>IF(Sales[[#This Row],[Delivery Days]]&lt;=$W$2, "Timely", "Delayed")</f>
        <v>Delayed</v>
      </c>
      <c r="U1073" t="s">
        <v>2924</v>
      </c>
    </row>
    <row r="1074" spans="1:21" x14ac:dyDescent="0.25">
      <c r="A1074" s="4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 s="6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1">
        <v>45455</v>
      </c>
      <c r="R1074" s="1">
        <v>45461</v>
      </c>
      <c r="S1074" s="14">
        <f>Sales[[#This Row],[DeliveryDate]]-Sales[[#This Row],[OrderDate]]</f>
        <v>6</v>
      </c>
      <c r="T1074" s="14" t="str">
        <f>IF(Sales[[#This Row],[Delivery Days]]&lt;=$W$2, "Timely", "Delayed")</f>
        <v>Timely</v>
      </c>
      <c r="U1074" t="s">
        <v>2922</v>
      </c>
    </row>
    <row r="1075" spans="1:21" x14ac:dyDescent="0.25">
      <c r="A1075" s="4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 s="6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1">
        <v>44959</v>
      </c>
      <c r="R1075" s="1">
        <v>44962</v>
      </c>
      <c r="S1075" s="14">
        <f>Sales[[#This Row],[DeliveryDate]]-Sales[[#This Row],[OrderDate]]</f>
        <v>3</v>
      </c>
      <c r="T1075" s="14" t="str">
        <f>IF(Sales[[#This Row],[Delivery Days]]&lt;=$W$2, "Timely", "Delayed")</f>
        <v>Timely</v>
      </c>
      <c r="U1075" t="s">
        <v>2923</v>
      </c>
    </row>
    <row r="1076" spans="1:21" x14ac:dyDescent="0.25">
      <c r="A1076" s="4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 s="6">
        <v>716.04</v>
      </c>
      <c r="K1076" t="s">
        <v>45</v>
      </c>
      <c r="L1076" t="s">
        <v>2941</v>
      </c>
      <c r="M1076">
        <v>0</v>
      </c>
      <c r="N1076" t="s">
        <v>1125</v>
      </c>
      <c r="O1076" t="s">
        <v>2557</v>
      </c>
      <c r="P1076">
        <v>43.22</v>
      </c>
      <c r="Q1076" s="1">
        <v>45050</v>
      </c>
      <c r="R1076" s="1">
        <v>45058</v>
      </c>
      <c r="S1076" s="14">
        <f>Sales[[#This Row],[DeliveryDate]]-Sales[[#This Row],[OrderDate]]</f>
        <v>8</v>
      </c>
      <c r="T1076" s="14" t="str">
        <f>IF(Sales[[#This Row],[Delivery Days]]&lt;=$W$2, "Timely", "Delayed")</f>
        <v>Delayed</v>
      </c>
      <c r="U1076" t="s">
        <v>2922</v>
      </c>
    </row>
    <row r="1077" spans="1:21" x14ac:dyDescent="0.25">
      <c r="A1077" s="4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 s="6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1">
        <v>45070</v>
      </c>
      <c r="R1077" s="1">
        <v>45077</v>
      </c>
      <c r="S1077" s="14">
        <f>Sales[[#This Row],[DeliveryDate]]-Sales[[#This Row],[OrderDate]]</f>
        <v>7</v>
      </c>
      <c r="T1077" s="14" t="str">
        <f>IF(Sales[[#This Row],[Delivery Days]]&lt;=$W$2, "Timely", "Delayed")</f>
        <v>Delayed</v>
      </c>
      <c r="U1077" t="s">
        <v>2926</v>
      </c>
    </row>
    <row r="1078" spans="1:21" x14ac:dyDescent="0.25">
      <c r="A1078" s="4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 s="6">
        <v>10163.48</v>
      </c>
      <c r="K1078" t="s">
        <v>43</v>
      </c>
      <c r="L1078" t="s">
        <v>2941</v>
      </c>
      <c r="M1078">
        <v>0</v>
      </c>
      <c r="N1078" t="s">
        <v>1127</v>
      </c>
      <c r="O1078" t="s">
        <v>2559</v>
      </c>
      <c r="P1078">
        <v>26.97</v>
      </c>
      <c r="Q1078" s="1">
        <v>44960</v>
      </c>
      <c r="R1078" s="1">
        <v>44970</v>
      </c>
      <c r="S1078" s="14">
        <f>Sales[[#This Row],[DeliveryDate]]-Sales[[#This Row],[OrderDate]]</f>
        <v>10</v>
      </c>
      <c r="T1078" s="14" t="str">
        <f>IF(Sales[[#This Row],[Delivery Days]]&lt;=$W$2, "Timely", "Delayed")</f>
        <v>Delayed</v>
      </c>
      <c r="U1078" t="s">
        <v>2926</v>
      </c>
    </row>
    <row r="1079" spans="1:21" x14ac:dyDescent="0.25">
      <c r="A1079" s="4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 s="6">
        <v>494.52</v>
      </c>
      <c r="K1079" t="s">
        <v>45</v>
      </c>
      <c r="L1079" t="s">
        <v>2941</v>
      </c>
      <c r="M1079">
        <v>0</v>
      </c>
      <c r="N1079" t="s">
        <v>1128</v>
      </c>
      <c r="O1079" t="s">
        <v>2560</v>
      </c>
      <c r="P1079">
        <v>43.02</v>
      </c>
      <c r="Q1079" s="1">
        <v>45285</v>
      </c>
      <c r="R1079" s="1">
        <v>45293</v>
      </c>
      <c r="S1079" s="14">
        <f>Sales[[#This Row],[DeliveryDate]]-Sales[[#This Row],[OrderDate]]</f>
        <v>8</v>
      </c>
      <c r="T1079" s="14" t="str">
        <f>IF(Sales[[#This Row],[Delivery Days]]&lt;=$W$2, "Timely", "Delayed")</f>
        <v>Delayed</v>
      </c>
      <c r="U1079" t="s">
        <v>2922</v>
      </c>
    </row>
    <row r="1080" spans="1:21" x14ac:dyDescent="0.25">
      <c r="A1080" s="4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 s="6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1">
        <v>45133</v>
      </c>
      <c r="R1080" s="1">
        <v>45139</v>
      </c>
      <c r="S1080" s="14">
        <f>Sales[[#This Row],[DeliveryDate]]-Sales[[#This Row],[OrderDate]]</f>
        <v>6</v>
      </c>
      <c r="T1080" s="14" t="str">
        <f>IF(Sales[[#This Row],[Delivery Days]]&lt;=$W$2, "Timely", "Delayed")</f>
        <v>Timely</v>
      </c>
      <c r="U1080" t="s">
        <v>2922</v>
      </c>
    </row>
    <row r="1081" spans="1:21" x14ac:dyDescent="0.25">
      <c r="A1081" s="4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 s="6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1">
        <v>45449</v>
      </c>
      <c r="R1081" s="1">
        <v>45458</v>
      </c>
      <c r="S1081" s="14">
        <f>Sales[[#This Row],[DeliveryDate]]-Sales[[#This Row],[OrderDate]]</f>
        <v>9</v>
      </c>
      <c r="T1081" s="14" t="str">
        <f>IF(Sales[[#This Row],[Delivery Days]]&lt;=$W$2, "Timely", "Delayed")</f>
        <v>Delayed</v>
      </c>
      <c r="U1081" t="s">
        <v>2925</v>
      </c>
    </row>
    <row r="1082" spans="1:21" x14ac:dyDescent="0.25">
      <c r="A1082" s="4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 s="6">
        <v>4381.5330000000004</v>
      </c>
      <c r="K1082" t="s">
        <v>46</v>
      </c>
      <c r="L1082" t="s">
        <v>2941</v>
      </c>
      <c r="M1082">
        <v>0</v>
      </c>
      <c r="N1082" t="s">
        <v>1131</v>
      </c>
      <c r="O1082" t="s">
        <v>2562</v>
      </c>
      <c r="P1082">
        <v>11.21</v>
      </c>
      <c r="Q1082" s="1">
        <v>45578</v>
      </c>
      <c r="R1082" s="1">
        <v>45583</v>
      </c>
      <c r="S1082" s="14">
        <f>Sales[[#This Row],[DeliveryDate]]-Sales[[#This Row],[OrderDate]]</f>
        <v>5</v>
      </c>
      <c r="T1082" s="14" t="str">
        <f>IF(Sales[[#This Row],[Delivery Days]]&lt;=$W$2, "Timely", "Delayed")</f>
        <v>Timely</v>
      </c>
      <c r="U1082" t="s">
        <v>2923</v>
      </c>
    </row>
    <row r="1083" spans="1:21" x14ac:dyDescent="0.25">
      <c r="A1083" s="4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 s="6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1">
        <v>45599</v>
      </c>
      <c r="R1083" s="1">
        <v>45609</v>
      </c>
      <c r="S1083" s="14">
        <f>Sales[[#This Row],[DeliveryDate]]-Sales[[#This Row],[OrderDate]]</f>
        <v>10</v>
      </c>
      <c r="T1083" s="14" t="str">
        <f>IF(Sales[[#This Row],[Delivery Days]]&lt;=$W$2, "Timely", "Delayed")</f>
        <v>Delayed</v>
      </c>
      <c r="U1083" t="s">
        <v>2924</v>
      </c>
    </row>
    <row r="1084" spans="1:21" x14ac:dyDescent="0.25">
      <c r="A1084" s="4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 s="6">
        <v>7253.3159999999998</v>
      </c>
      <c r="K1084" t="s">
        <v>45</v>
      </c>
      <c r="L1084" t="s">
        <v>2941</v>
      </c>
      <c r="M1084">
        <v>0</v>
      </c>
      <c r="N1084" t="s">
        <v>1133</v>
      </c>
      <c r="O1084" t="s">
        <v>2563</v>
      </c>
      <c r="P1084">
        <v>32.53</v>
      </c>
      <c r="Q1084" s="1">
        <v>45325</v>
      </c>
      <c r="R1084" s="1">
        <v>45333</v>
      </c>
      <c r="S1084" s="14">
        <f>Sales[[#This Row],[DeliveryDate]]-Sales[[#This Row],[OrderDate]]</f>
        <v>8</v>
      </c>
      <c r="T1084" s="14" t="str">
        <f>IF(Sales[[#This Row],[Delivery Days]]&lt;=$W$2, "Timely", "Delayed")</f>
        <v>Delayed</v>
      </c>
      <c r="U1084" t="s">
        <v>2924</v>
      </c>
    </row>
    <row r="1085" spans="1:21" x14ac:dyDescent="0.25">
      <c r="A1085" s="4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 s="6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1">
        <v>44936</v>
      </c>
      <c r="R1085" s="1">
        <v>44939</v>
      </c>
      <c r="S1085" s="14">
        <f>Sales[[#This Row],[DeliveryDate]]-Sales[[#This Row],[OrderDate]]</f>
        <v>3</v>
      </c>
      <c r="T1085" s="14" t="str">
        <f>IF(Sales[[#This Row],[Delivery Days]]&lt;=$W$2, "Timely", "Delayed")</f>
        <v>Timely</v>
      </c>
      <c r="U1085" t="s">
        <v>2922</v>
      </c>
    </row>
    <row r="1086" spans="1:21" x14ac:dyDescent="0.25">
      <c r="A1086" s="4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 s="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1">
        <v>45215</v>
      </c>
      <c r="R1086" s="1">
        <v>45221</v>
      </c>
      <c r="S1086" s="14">
        <f>Sales[[#This Row],[DeliveryDate]]-Sales[[#This Row],[OrderDate]]</f>
        <v>6</v>
      </c>
      <c r="T1086" s="14" t="str">
        <f>IF(Sales[[#This Row],[Delivery Days]]&lt;=$W$2, "Timely", "Delayed")</f>
        <v>Timely</v>
      </c>
      <c r="U1086" t="s">
        <v>2922</v>
      </c>
    </row>
    <row r="1087" spans="1:21" x14ac:dyDescent="0.25">
      <c r="A1087" s="4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 s="6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1">
        <v>45735</v>
      </c>
      <c r="R1087" s="1">
        <v>45740</v>
      </c>
      <c r="S1087" s="14">
        <f>Sales[[#This Row],[DeliveryDate]]-Sales[[#This Row],[OrderDate]]</f>
        <v>5</v>
      </c>
      <c r="T1087" s="14" t="str">
        <f>IF(Sales[[#This Row],[Delivery Days]]&lt;=$W$2, "Timely", "Delayed")</f>
        <v>Timely</v>
      </c>
      <c r="U1087" t="s">
        <v>2925</v>
      </c>
    </row>
    <row r="1088" spans="1:21" x14ac:dyDescent="0.25">
      <c r="A1088" s="4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 s="6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1">
        <v>45642</v>
      </c>
      <c r="R1088" s="1">
        <v>45645</v>
      </c>
      <c r="S1088" s="14">
        <f>Sales[[#This Row],[DeliveryDate]]-Sales[[#This Row],[OrderDate]]</f>
        <v>3</v>
      </c>
      <c r="T1088" s="14" t="str">
        <f>IF(Sales[[#This Row],[Delivery Days]]&lt;=$W$2, "Timely", "Delayed")</f>
        <v>Timely</v>
      </c>
      <c r="U1088" t="s">
        <v>2926</v>
      </c>
    </row>
    <row r="1089" spans="1:21" x14ac:dyDescent="0.25">
      <c r="A1089" s="4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 s="6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1">
        <v>45154</v>
      </c>
      <c r="R1089" s="1">
        <v>45158</v>
      </c>
      <c r="S1089" s="14">
        <f>Sales[[#This Row],[DeliveryDate]]-Sales[[#This Row],[OrderDate]]</f>
        <v>4</v>
      </c>
      <c r="T1089" s="14" t="str">
        <f>IF(Sales[[#This Row],[Delivery Days]]&lt;=$W$2, "Timely", "Delayed")</f>
        <v>Timely</v>
      </c>
      <c r="U1089" t="s">
        <v>2926</v>
      </c>
    </row>
    <row r="1090" spans="1:21" x14ac:dyDescent="0.25">
      <c r="A1090" s="4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 s="6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1">
        <v>44936</v>
      </c>
      <c r="R1090" s="1">
        <v>44946</v>
      </c>
      <c r="S1090" s="14">
        <f>Sales[[#This Row],[DeliveryDate]]-Sales[[#This Row],[OrderDate]]</f>
        <v>10</v>
      </c>
      <c r="T1090" s="14" t="str">
        <f>IF(Sales[[#This Row],[Delivery Days]]&lt;=$W$2, "Timely", "Delayed")</f>
        <v>Delayed</v>
      </c>
      <c r="U1090" t="s">
        <v>2922</v>
      </c>
    </row>
    <row r="1091" spans="1:21" x14ac:dyDescent="0.25">
      <c r="A1091" s="4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 s="6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1">
        <v>45786</v>
      </c>
      <c r="R1091" s="1">
        <v>45795</v>
      </c>
      <c r="S1091" s="14">
        <f>Sales[[#This Row],[DeliveryDate]]-Sales[[#This Row],[OrderDate]]</f>
        <v>9</v>
      </c>
      <c r="T1091" s="14" t="str">
        <f>IF(Sales[[#This Row],[Delivery Days]]&lt;=$W$2, "Timely", "Delayed")</f>
        <v>Delayed</v>
      </c>
      <c r="U1091" t="s">
        <v>2925</v>
      </c>
    </row>
    <row r="1092" spans="1:21" x14ac:dyDescent="0.25">
      <c r="A1092" s="4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 s="6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1">
        <v>45390</v>
      </c>
      <c r="R1092" s="1">
        <v>45398</v>
      </c>
      <c r="S1092" s="14">
        <f>Sales[[#This Row],[DeliveryDate]]-Sales[[#This Row],[OrderDate]]</f>
        <v>8</v>
      </c>
      <c r="T1092" s="14" t="str">
        <f>IF(Sales[[#This Row],[Delivery Days]]&lt;=$W$2, "Timely", "Delayed")</f>
        <v>Delayed</v>
      </c>
      <c r="U1092" t="s">
        <v>2922</v>
      </c>
    </row>
    <row r="1093" spans="1:21" x14ac:dyDescent="0.25">
      <c r="A1093" s="4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 s="6">
        <v>6143.76</v>
      </c>
      <c r="K1093" t="s">
        <v>44</v>
      </c>
      <c r="L1093" t="s">
        <v>2941</v>
      </c>
      <c r="M1093">
        <v>0</v>
      </c>
      <c r="N1093" t="s">
        <v>1142</v>
      </c>
      <c r="O1093" t="s">
        <v>2571</v>
      </c>
      <c r="P1093">
        <v>10.199999999999999</v>
      </c>
      <c r="Q1093" s="1">
        <v>45783</v>
      </c>
      <c r="R1093" s="1">
        <v>45792</v>
      </c>
      <c r="S1093" s="14">
        <f>Sales[[#This Row],[DeliveryDate]]-Sales[[#This Row],[OrderDate]]</f>
        <v>9</v>
      </c>
      <c r="T1093" s="14" t="str">
        <f>IF(Sales[[#This Row],[Delivery Days]]&lt;=$W$2, "Timely", "Delayed")</f>
        <v>Delayed</v>
      </c>
      <c r="U1093" t="s">
        <v>2922</v>
      </c>
    </row>
    <row r="1094" spans="1:21" x14ac:dyDescent="0.25">
      <c r="A1094" s="4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 s="6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1">
        <v>45067</v>
      </c>
      <c r="R1094" s="1">
        <v>45075</v>
      </c>
      <c r="S1094" s="14">
        <f>Sales[[#This Row],[DeliveryDate]]-Sales[[#This Row],[OrderDate]]</f>
        <v>8</v>
      </c>
      <c r="T1094" s="14" t="str">
        <f>IF(Sales[[#This Row],[Delivery Days]]&lt;=$W$2, "Timely", "Delayed")</f>
        <v>Delayed</v>
      </c>
      <c r="U1094" t="s">
        <v>2926</v>
      </c>
    </row>
    <row r="1095" spans="1:21" x14ac:dyDescent="0.25">
      <c r="A1095" s="4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 s="6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1">
        <v>45253</v>
      </c>
      <c r="R1095" s="1">
        <v>45260</v>
      </c>
      <c r="S1095" s="14">
        <f>Sales[[#This Row],[DeliveryDate]]-Sales[[#This Row],[OrderDate]]</f>
        <v>7</v>
      </c>
      <c r="T1095" s="14" t="str">
        <f>IF(Sales[[#This Row],[Delivery Days]]&lt;=$W$2, "Timely", "Delayed")</f>
        <v>Delayed</v>
      </c>
      <c r="U1095" t="s">
        <v>2925</v>
      </c>
    </row>
    <row r="1096" spans="1:21" x14ac:dyDescent="0.25">
      <c r="A1096" s="4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 s="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1">
        <v>45377</v>
      </c>
      <c r="R1096" s="1">
        <v>45387</v>
      </c>
      <c r="S1096" s="14">
        <f>Sales[[#This Row],[DeliveryDate]]-Sales[[#This Row],[OrderDate]]</f>
        <v>10</v>
      </c>
      <c r="T1096" s="14" t="str">
        <f>IF(Sales[[#This Row],[Delivery Days]]&lt;=$W$2, "Timely", "Delayed")</f>
        <v>Delayed</v>
      </c>
      <c r="U1096" t="s">
        <v>2924</v>
      </c>
    </row>
    <row r="1097" spans="1:21" x14ac:dyDescent="0.25">
      <c r="A1097" s="4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 s="6">
        <v>1613.1959999999999</v>
      </c>
      <c r="K1097" t="s">
        <v>45</v>
      </c>
      <c r="L1097" t="s">
        <v>2941</v>
      </c>
      <c r="M1097">
        <v>0</v>
      </c>
      <c r="N1097" t="s">
        <v>1146</v>
      </c>
      <c r="O1097" t="s">
        <v>2575</v>
      </c>
      <c r="P1097">
        <v>20.21</v>
      </c>
      <c r="Q1097" s="1">
        <v>45560</v>
      </c>
      <c r="R1097" s="1">
        <v>45567</v>
      </c>
      <c r="S1097" s="14">
        <f>Sales[[#This Row],[DeliveryDate]]-Sales[[#This Row],[OrderDate]]</f>
        <v>7</v>
      </c>
      <c r="T1097" s="14" t="str">
        <f>IF(Sales[[#This Row],[Delivery Days]]&lt;=$W$2, "Timely", "Delayed")</f>
        <v>Delayed</v>
      </c>
      <c r="U1097" t="s">
        <v>2923</v>
      </c>
    </row>
    <row r="1098" spans="1:21" x14ac:dyDescent="0.25">
      <c r="A1098" s="4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 s="6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1">
        <v>45022</v>
      </c>
      <c r="R1098" s="1">
        <v>45026</v>
      </c>
      <c r="S1098" s="14">
        <f>Sales[[#This Row],[DeliveryDate]]-Sales[[#This Row],[OrderDate]]</f>
        <v>4</v>
      </c>
      <c r="T1098" s="14" t="str">
        <f>IF(Sales[[#This Row],[Delivery Days]]&lt;=$W$2, "Timely", "Delayed")</f>
        <v>Timely</v>
      </c>
      <c r="U1098" t="s">
        <v>2922</v>
      </c>
    </row>
    <row r="1099" spans="1:21" x14ac:dyDescent="0.25">
      <c r="A1099" s="4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 s="6">
        <v>7035.4719999999998</v>
      </c>
      <c r="K1099" t="s">
        <v>47</v>
      </c>
      <c r="L1099" t="s">
        <v>2941</v>
      </c>
      <c r="M1099">
        <v>1</v>
      </c>
      <c r="N1099" t="s">
        <v>1148</v>
      </c>
      <c r="O1099" t="s">
        <v>2577</v>
      </c>
      <c r="P1099">
        <v>17.43</v>
      </c>
      <c r="Q1099" s="1">
        <v>45467</v>
      </c>
      <c r="R1099" s="1">
        <v>45469</v>
      </c>
      <c r="S1099" s="14">
        <f>Sales[[#This Row],[DeliveryDate]]-Sales[[#This Row],[OrderDate]]</f>
        <v>2</v>
      </c>
      <c r="T1099" s="14" t="str">
        <f>IF(Sales[[#This Row],[Delivery Days]]&lt;=$W$2, "Timely", "Delayed")</f>
        <v>Timely</v>
      </c>
      <c r="U1099" t="s">
        <v>2924</v>
      </c>
    </row>
    <row r="1100" spans="1:21" x14ac:dyDescent="0.25">
      <c r="A1100" s="4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 s="6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1">
        <v>45641</v>
      </c>
      <c r="R1100" s="1">
        <v>45649</v>
      </c>
      <c r="S1100" s="14">
        <f>Sales[[#This Row],[DeliveryDate]]-Sales[[#This Row],[OrderDate]]</f>
        <v>8</v>
      </c>
      <c r="T1100" s="14" t="str">
        <f>IF(Sales[[#This Row],[Delivery Days]]&lt;=$W$2, "Timely", "Delayed")</f>
        <v>Delayed</v>
      </c>
      <c r="U1100" t="s">
        <v>2923</v>
      </c>
    </row>
    <row r="1101" spans="1:21" x14ac:dyDescent="0.25">
      <c r="A1101" s="4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 s="6">
        <v>486.59</v>
      </c>
      <c r="K1101" t="s">
        <v>44</v>
      </c>
      <c r="L1101" t="s">
        <v>2941</v>
      </c>
      <c r="M1101">
        <v>0</v>
      </c>
      <c r="N1101" t="s">
        <v>1150</v>
      </c>
      <c r="O1101" t="s">
        <v>2048</v>
      </c>
      <c r="P1101">
        <v>30.32</v>
      </c>
      <c r="Q1101" s="1">
        <v>45568</v>
      </c>
      <c r="R1101" s="1">
        <v>45576</v>
      </c>
      <c r="S1101" s="14">
        <f>Sales[[#This Row],[DeliveryDate]]-Sales[[#This Row],[OrderDate]]</f>
        <v>8</v>
      </c>
      <c r="T1101" s="14" t="str">
        <f>IF(Sales[[#This Row],[Delivery Days]]&lt;=$W$2, "Timely", "Delayed")</f>
        <v>Delayed</v>
      </c>
      <c r="U1101" t="s">
        <v>2924</v>
      </c>
    </row>
    <row r="1102" spans="1:21" x14ac:dyDescent="0.25">
      <c r="A1102" s="4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 s="6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1">
        <v>45172</v>
      </c>
      <c r="R1102" s="1">
        <v>45182</v>
      </c>
      <c r="S1102" s="14">
        <f>Sales[[#This Row],[DeliveryDate]]-Sales[[#This Row],[OrderDate]]</f>
        <v>10</v>
      </c>
      <c r="T1102" s="14" t="str">
        <f>IF(Sales[[#This Row],[Delivery Days]]&lt;=$W$2, "Timely", "Delayed")</f>
        <v>Delayed</v>
      </c>
      <c r="U1102" t="s">
        <v>2923</v>
      </c>
    </row>
    <row r="1103" spans="1:21" x14ac:dyDescent="0.25">
      <c r="A1103" s="4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 s="6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1">
        <v>44955</v>
      </c>
      <c r="R1103" s="1">
        <v>44962</v>
      </c>
      <c r="S1103" s="14">
        <f>Sales[[#This Row],[DeliveryDate]]-Sales[[#This Row],[OrderDate]]</f>
        <v>7</v>
      </c>
      <c r="T1103" s="14" t="str">
        <f>IF(Sales[[#This Row],[Delivery Days]]&lt;=$W$2, "Timely", "Delayed")</f>
        <v>Delayed</v>
      </c>
      <c r="U1103" t="s">
        <v>2924</v>
      </c>
    </row>
    <row r="1104" spans="1:21" x14ac:dyDescent="0.25">
      <c r="A1104" s="4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 s="6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1">
        <v>45455</v>
      </c>
      <c r="R1104" s="1">
        <v>45463</v>
      </c>
      <c r="S1104" s="14">
        <f>Sales[[#This Row],[DeliveryDate]]-Sales[[#This Row],[OrderDate]]</f>
        <v>8</v>
      </c>
      <c r="T1104" s="14" t="str">
        <f>IF(Sales[[#This Row],[Delivery Days]]&lt;=$W$2, "Timely", "Delayed")</f>
        <v>Delayed</v>
      </c>
      <c r="U1104" t="s">
        <v>2924</v>
      </c>
    </row>
    <row r="1105" spans="1:21" x14ac:dyDescent="0.25">
      <c r="A1105" s="4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 s="6">
        <v>4128.2460000000001</v>
      </c>
      <c r="K1105" t="s">
        <v>44</v>
      </c>
      <c r="L1105" t="s">
        <v>2941</v>
      </c>
      <c r="M1105">
        <v>0</v>
      </c>
      <c r="N1105" t="s">
        <v>1154</v>
      </c>
      <c r="O1105" t="s">
        <v>2581</v>
      </c>
      <c r="P1105">
        <v>16.079999999999998</v>
      </c>
      <c r="Q1105" s="1">
        <v>45620</v>
      </c>
      <c r="R1105" s="1">
        <v>45629</v>
      </c>
      <c r="S1105" s="14">
        <f>Sales[[#This Row],[DeliveryDate]]-Sales[[#This Row],[OrderDate]]</f>
        <v>9</v>
      </c>
      <c r="T1105" s="14" t="str">
        <f>IF(Sales[[#This Row],[Delivery Days]]&lt;=$W$2, "Timely", "Delayed")</f>
        <v>Delayed</v>
      </c>
      <c r="U1105" t="s">
        <v>2924</v>
      </c>
    </row>
    <row r="1106" spans="1:21" x14ac:dyDescent="0.25">
      <c r="A1106" s="4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 s="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1">
        <v>45153</v>
      </c>
      <c r="R1106" s="1">
        <v>45158</v>
      </c>
      <c r="S1106" s="14">
        <f>Sales[[#This Row],[DeliveryDate]]-Sales[[#This Row],[OrderDate]]</f>
        <v>5</v>
      </c>
      <c r="T1106" s="14" t="str">
        <f>IF(Sales[[#This Row],[Delivery Days]]&lt;=$W$2, "Timely", "Delayed")</f>
        <v>Timely</v>
      </c>
      <c r="U1106" t="s">
        <v>2926</v>
      </c>
    </row>
    <row r="1107" spans="1:21" x14ac:dyDescent="0.25">
      <c r="A1107" s="4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 s="6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1">
        <v>45525</v>
      </c>
      <c r="R1107" s="1">
        <v>45534</v>
      </c>
      <c r="S1107" s="14">
        <f>Sales[[#This Row],[DeliveryDate]]-Sales[[#This Row],[OrderDate]]</f>
        <v>9</v>
      </c>
      <c r="T1107" s="14" t="str">
        <f>IF(Sales[[#This Row],[Delivery Days]]&lt;=$W$2, "Timely", "Delayed")</f>
        <v>Delayed</v>
      </c>
      <c r="U1107" t="s">
        <v>2925</v>
      </c>
    </row>
    <row r="1108" spans="1:21" x14ac:dyDescent="0.25">
      <c r="A1108" s="4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 s="6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1">
        <v>45070</v>
      </c>
      <c r="R1108" s="1">
        <v>45078</v>
      </c>
      <c r="S1108" s="14">
        <f>Sales[[#This Row],[DeliveryDate]]-Sales[[#This Row],[OrderDate]]</f>
        <v>8</v>
      </c>
      <c r="T1108" s="14" t="str">
        <f>IF(Sales[[#This Row],[Delivery Days]]&lt;=$W$2, "Timely", "Delayed")</f>
        <v>Delayed</v>
      </c>
      <c r="U1108" t="s">
        <v>2926</v>
      </c>
    </row>
    <row r="1109" spans="1:21" x14ac:dyDescent="0.25">
      <c r="A1109" s="4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 s="6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1">
        <v>45043</v>
      </c>
      <c r="R1109" s="1">
        <v>45047</v>
      </c>
      <c r="S1109" s="14">
        <f>Sales[[#This Row],[DeliveryDate]]-Sales[[#This Row],[OrderDate]]</f>
        <v>4</v>
      </c>
      <c r="T1109" s="14" t="str">
        <f>IF(Sales[[#This Row],[Delivery Days]]&lt;=$W$2, "Timely", "Delayed")</f>
        <v>Timely</v>
      </c>
      <c r="U1109" t="s">
        <v>2926</v>
      </c>
    </row>
    <row r="1110" spans="1:21" x14ac:dyDescent="0.25">
      <c r="A1110" s="4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 s="6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1">
        <v>45067</v>
      </c>
      <c r="R1110" s="1">
        <v>45072</v>
      </c>
      <c r="S1110" s="14">
        <f>Sales[[#This Row],[DeliveryDate]]-Sales[[#This Row],[OrderDate]]</f>
        <v>5</v>
      </c>
      <c r="T1110" s="14" t="str">
        <f>IF(Sales[[#This Row],[Delivery Days]]&lt;=$W$2, "Timely", "Delayed")</f>
        <v>Timely</v>
      </c>
      <c r="U1110" t="s">
        <v>2922</v>
      </c>
    </row>
    <row r="1111" spans="1:21" x14ac:dyDescent="0.25">
      <c r="A1111" s="4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 s="6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1">
        <v>45704</v>
      </c>
      <c r="R1111" s="1">
        <v>45713</v>
      </c>
      <c r="S1111" s="14">
        <f>Sales[[#This Row],[DeliveryDate]]-Sales[[#This Row],[OrderDate]]</f>
        <v>9</v>
      </c>
      <c r="T1111" s="14" t="str">
        <f>IF(Sales[[#This Row],[Delivery Days]]&lt;=$W$2, "Timely", "Delayed")</f>
        <v>Delayed</v>
      </c>
      <c r="U1111" t="s">
        <v>2922</v>
      </c>
    </row>
    <row r="1112" spans="1:21" x14ac:dyDescent="0.25">
      <c r="A1112" s="4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 s="6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1">
        <v>45162</v>
      </c>
      <c r="R1112" s="1">
        <v>45167</v>
      </c>
      <c r="S1112" s="14">
        <f>Sales[[#This Row],[DeliveryDate]]-Sales[[#This Row],[OrderDate]]</f>
        <v>5</v>
      </c>
      <c r="T1112" s="14" t="str">
        <f>IF(Sales[[#This Row],[Delivery Days]]&lt;=$W$2, "Timely", "Delayed")</f>
        <v>Timely</v>
      </c>
      <c r="U1112" t="s">
        <v>2922</v>
      </c>
    </row>
    <row r="1113" spans="1:21" x14ac:dyDescent="0.25">
      <c r="A1113" s="4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 s="6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1">
        <v>45365</v>
      </c>
      <c r="R1113" s="1">
        <v>45372</v>
      </c>
      <c r="S1113" s="14">
        <f>Sales[[#This Row],[DeliveryDate]]-Sales[[#This Row],[OrderDate]]</f>
        <v>7</v>
      </c>
      <c r="T1113" s="14" t="str">
        <f>IF(Sales[[#This Row],[Delivery Days]]&lt;=$W$2, "Timely", "Delayed")</f>
        <v>Delayed</v>
      </c>
      <c r="U1113" t="s">
        <v>2922</v>
      </c>
    </row>
    <row r="1114" spans="1:21" x14ac:dyDescent="0.25">
      <c r="A1114" s="4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 s="6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1">
        <v>45320</v>
      </c>
      <c r="R1114" s="1">
        <v>45329</v>
      </c>
      <c r="S1114" s="14">
        <f>Sales[[#This Row],[DeliveryDate]]-Sales[[#This Row],[OrderDate]]</f>
        <v>9</v>
      </c>
      <c r="T1114" s="14" t="str">
        <f>IF(Sales[[#This Row],[Delivery Days]]&lt;=$W$2, "Timely", "Delayed")</f>
        <v>Delayed</v>
      </c>
      <c r="U1114" t="s">
        <v>2924</v>
      </c>
    </row>
    <row r="1115" spans="1:21" x14ac:dyDescent="0.25">
      <c r="A1115" s="4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 s="6">
        <v>4704.5700000000006</v>
      </c>
      <c r="K1115" t="s">
        <v>45</v>
      </c>
      <c r="L1115" t="s">
        <v>2941</v>
      </c>
      <c r="M1115">
        <v>0</v>
      </c>
      <c r="N1115" t="s">
        <v>1164</v>
      </c>
      <c r="O1115" t="s">
        <v>2591</v>
      </c>
      <c r="P1115">
        <v>20.059999999999999</v>
      </c>
      <c r="Q1115" s="1">
        <v>45513</v>
      </c>
      <c r="R1115" s="1">
        <v>45519</v>
      </c>
      <c r="S1115" s="14">
        <f>Sales[[#This Row],[DeliveryDate]]-Sales[[#This Row],[OrderDate]]</f>
        <v>6</v>
      </c>
      <c r="T1115" s="14" t="str">
        <f>IF(Sales[[#This Row],[Delivery Days]]&lt;=$W$2, "Timely", "Delayed")</f>
        <v>Timely</v>
      </c>
      <c r="U1115" t="s">
        <v>2923</v>
      </c>
    </row>
    <row r="1116" spans="1:21" x14ac:dyDescent="0.25">
      <c r="A1116" s="4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 s="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1">
        <v>45481</v>
      </c>
      <c r="R1116" s="1">
        <v>45490</v>
      </c>
      <c r="S1116" s="14">
        <f>Sales[[#This Row],[DeliveryDate]]-Sales[[#This Row],[OrderDate]]</f>
        <v>9</v>
      </c>
      <c r="T1116" s="14" t="str">
        <f>IF(Sales[[#This Row],[Delivery Days]]&lt;=$W$2, "Timely", "Delayed")</f>
        <v>Delayed</v>
      </c>
      <c r="U1116" t="s">
        <v>2924</v>
      </c>
    </row>
    <row r="1117" spans="1:21" x14ac:dyDescent="0.25">
      <c r="A1117" s="4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 s="6">
        <v>2971.267499999999</v>
      </c>
      <c r="K1117" t="s">
        <v>44</v>
      </c>
      <c r="L1117" t="s">
        <v>2941</v>
      </c>
      <c r="M1117">
        <v>0</v>
      </c>
      <c r="N1117" t="s">
        <v>1166</v>
      </c>
      <c r="O1117" t="s">
        <v>2593</v>
      </c>
      <c r="P1117">
        <v>37.81</v>
      </c>
      <c r="Q1117" s="1">
        <v>45524</v>
      </c>
      <c r="R1117" s="1">
        <v>45533</v>
      </c>
      <c r="S1117" s="14">
        <f>Sales[[#This Row],[DeliveryDate]]-Sales[[#This Row],[OrderDate]]</f>
        <v>9</v>
      </c>
      <c r="T1117" s="14" t="str">
        <f>IF(Sales[[#This Row],[Delivery Days]]&lt;=$W$2, "Timely", "Delayed")</f>
        <v>Delayed</v>
      </c>
      <c r="U1117" t="s">
        <v>2924</v>
      </c>
    </row>
    <row r="1118" spans="1:21" x14ac:dyDescent="0.25">
      <c r="A1118" s="4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 s="6">
        <v>4956.5879999999997</v>
      </c>
      <c r="K1118" t="s">
        <v>46</v>
      </c>
      <c r="L1118" t="s">
        <v>2941</v>
      </c>
      <c r="M1118">
        <v>1</v>
      </c>
      <c r="N1118" t="s">
        <v>1167</v>
      </c>
      <c r="O1118" t="s">
        <v>2594</v>
      </c>
      <c r="P1118">
        <v>23.31</v>
      </c>
      <c r="Q1118" s="1">
        <v>45103</v>
      </c>
      <c r="R1118" s="1">
        <v>45105</v>
      </c>
      <c r="S1118" s="14">
        <f>Sales[[#This Row],[DeliveryDate]]-Sales[[#This Row],[OrderDate]]</f>
        <v>2</v>
      </c>
      <c r="T1118" s="14" t="str">
        <f>IF(Sales[[#This Row],[Delivery Days]]&lt;=$W$2, "Timely", "Delayed")</f>
        <v>Timely</v>
      </c>
      <c r="U1118" t="s">
        <v>2925</v>
      </c>
    </row>
    <row r="1119" spans="1:21" x14ac:dyDescent="0.25">
      <c r="A1119" s="4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 s="6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1">
        <v>45283</v>
      </c>
      <c r="R1119" s="1">
        <v>45285</v>
      </c>
      <c r="S1119" s="14">
        <f>Sales[[#This Row],[DeliveryDate]]-Sales[[#This Row],[OrderDate]]</f>
        <v>2</v>
      </c>
      <c r="T1119" s="14" t="str">
        <f>IF(Sales[[#This Row],[Delivery Days]]&lt;=$W$2, "Timely", "Delayed")</f>
        <v>Timely</v>
      </c>
      <c r="U1119" t="s">
        <v>2922</v>
      </c>
    </row>
    <row r="1120" spans="1:21" x14ac:dyDescent="0.25">
      <c r="A1120" s="4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 s="6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1">
        <v>45158</v>
      </c>
      <c r="R1120" s="1">
        <v>45165</v>
      </c>
      <c r="S1120" s="14">
        <f>Sales[[#This Row],[DeliveryDate]]-Sales[[#This Row],[OrderDate]]</f>
        <v>7</v>
      </c>
      <c r="T1120" s="14" t="str">
        <f>IF(Sales[[#This Row],[Delivery Days]]&lt;=$W$2, "Timely", "Delayed")</f>
        <v>Delayed</v>
      </c>
      <c r="U1120" t="s">
        <v>2925</v>
      </c>
    </row>
    <row r="1121" spans="1:21" x14ac:dyDescent="0.25">
      <c r="A1121" s="4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 s="6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1">
        <v>45593</v>
      </c>
      <c r="R1121" s="1">
        <v>45602</v>
      </c>
      <c r="S1121" s="14">
        <f>Sales[[#This Row],[DeliveryDate]]-Sales[[#This Row],[OrderDate]]</f>
        <v>9</v>
      </c>
      <c r="T1121" s="14" t="str">
        <f>IF(Sales[[#This Row],[Delivery Days]]&lt;=$W$2, "Timely", "Delayed")</f>
        <v>Delayed</v>
      </c>
      <c r="U1121" t="s">
        <v>2926</v>
      </c>
    </row>
    <row r="1122" spans="1:21" x14ac:dyDescent="0.25">
      <c r="A1122" s="4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 s="6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1">
        <v>45607</v>
      </c>
      <c r="R1122" s="1">
        <v>45617</v>
      </c>
      <c r="S1122" s="14">
        <f>Sales[[#This Row],[DeliveryDate]]-Sales[[#This Row],[OrderDate]]</f>
        <v>10</v>
      </c>
      <c r="T1122" s="14" t="str">
        <f>IF(Sales[[#This Row],[Delivery Days]]&lt;=$W$2, "Timely", "Delayed")</f>
        <v>Delayed</v>
      </c>
      <c r="U1122" t="s">
        <v>2922</v>
      </c>
    </row>
    <row r="1123" spans="1:21" x14ac:dyDescent="0.25">
      <c r="A1123" s="4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 s="6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1">
        <v>45267</v>
      </c>
      <c r="R1123" s="1">
        <v>45275</v>
      </c>
      <c r="S1123" s="14">
        <f>Sales[[#This Row],[DeliveryDate]]-Sales[[#This Row],[OrderDate]]</f>
        <v>8</v>
      </c>
      <c r="T1123" s="14" t="str">
        <f>IF(Sales[[#This Row],[Delivery Days]]&lt;=$W$2, "Timely", "Delayed")</f>
        <v>Delayed</v>
      </c>
      <c r="U1123" t="s">
        <v>2926</v>
      </c>
    </row>
    <row r="1124" spans="1:21" x14ac:dyDescent="0.25">
      <c r="A1124" s="4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 s="6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1">
        <v>45374</v>
      </c>
      <c r="R1124" s="1">
        <v>45384</v>
      </c>
      <c r="S1124" s="14">
        <f>Sales[[#This Row],[DeliveryDate]]-Sales[[#This Row],[OrderDate]]</f>
        <v>10</v>
      </c>
      <c r="T1124" s="14" t="str">
        <f>IF(Sales[[#This Row],[Delivery Days]]&lt;=$W$2, "Timely", "Delayed")</f>
        <v>Delayed</v>
      </c>
      <c r="U1124" t="s">
        <v>2926</v>
      </c>
    </row>
    <row r="1125" spans="1:21" x14ac:dyDescent="0.25">
      <c r="A1125" s="4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 s="6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1">
        <v>45594</v>
      </c>
      <c r="R1125" s="1">
        <v>45598</v>
      </c>
      <c r="S1125" s="14">
        <f>Sales[[#This Row],[DeliveryDate]]-Sales[[#This Row],[OrderDate]]</f>
        <v>4</v>
      </c>
      <c r="T1125" s="14" t="str">
        <f>IF(Sales[[#This Row],[Delivery Days]]&lt;=$W$2, "Timely", "Delayed")</f>
        <v>Timely</v>
      </c>
      <c r="U1125" t="s">
        <v>2926</v>
      </c>
    </row>
    <row r="1126" spans="1:21" x14ac:dyDescent="0.25">
      <c r="A1126" s="4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 s="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1">
        <v>45825</v>
      </c>
      <c r="R1126" s="1">
        <v>45830</v>
      </c>
      <c r="S1126" s="14">
        <f>Sales[[#This Row],[DeliveryDate]]-Sales[[#This Row],[OrderDate]]</f>
        <v>5</v>
      </c>
      <c r="T1126" s="14" t="str">
        <f>IF(Sales[[#This Row],[Delivery Days]]&lt;=$W$2, "Timely", "Delayed")</f>
        <v>Timely</v>
      </c>
      <c r="U1126" t="s">
        <v>2922</v>
      </c>
    </row>
    <row r="1127" spans="1:21" x14ac:dyDescent="0.25">
      <c r="A1127" s="4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 s="6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1">
        <v>45003</v>
      </c>
      <c r="R1127" s="1">
        <v>45011</v>
      </c>
      <c r="S1127" s="14">
        <f>Sales[[#This Row],[DeliveryDate]]-Sales[[#This Row],[OrderDate]]</f>
        <v>8</v>
      </c>
      <c r="T1127" s="14" t="str">
        <f>IF(Sales[[#This Row],[Delivery Days]]&lt;=$W$2, "Timely", "Delayed")</f>
        <v>Delayed</v>
      </c>
      <c r="U1127" t="s">
        <v>2924</v>
      </c>
    </row>
    <row r="1128" spans="1:21" x14ac:dyDescent="0.25">
      <c r="A1128" s="4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 s="6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1">
        <v>44945</v>
      </c>
      <c r="R1128" s="1">
        <v>44949</v>
      </c>
      <c r="S1128" s="14">
        <f>Sales[[#This Row],[DeliveryDate]]-Sales[[#This Row],[OrderDate]]</f>
        <v>4</v>
      </c>
      <c r="T1128" s="14" t="str">
        <f>IF(Sales[[#This Row],[Delivery Days]]&lt;=$W$2, "Timely", "Delayed")</f>
        <v>Timely</v>
      </c>
      <c r="U1128" t="s">
        <v>2922</v>
      </c>
    </row>
    <row r="1129" spans="1:21" x14ac:dyDescent="0.25">
      <c r="A1129" s="4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 s="6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1">
        <v>45116</v>
      </c>
      <c r="R1129" s="1">
        <v>45121</v>
      </c>
      <c r="S1129" s="14">
        <f>Sales[[#This Row],[DeliveryDate]]-Sales[[#This Row],[OrderDate]]</f>
        <v>5</v>
      </c>
      <c r="T1129" s="14" t="str">
        <f>IF(Sales[[#This Row],[Delivery Days]]&lt;=$W$2, "Timely", "Delayed")</f>
        <v>Timely</v>
      </c>
      <c r="U1129" t="s">
        <v>2926</v>
      </c>
    </row>
    <row r="1130" spans="1:21" x14ac:dyDescent="0.25">
      <c r="A1130" s="4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 s="6">
        <v>6112.8130000000001</v>
      </c>
      <c r="K1130" t="s">
        <v>43</v>
      </c>
      <c r="L1130" t="s">
        <v>2941</v>
      </c>
      <c r="M1130">
        <v>1</v>
      </c>
      <c r="N1130" t="s">
        <v>1179</v>
      </c>
      <c r="O1130" t="s">
        <v>2606</v>
      </c>
      <c r="P1130">
        <v>43.41</v>
      </c>
      <c r="Q1130" s="1">
        <v>45732</v>
      </c>
      <c r="R1130" s="1">
        <v>45742</v>
      </c>
      <c r="S1130" s="14">
        <f>Sales[[#This Row],[DeliveryDate]]-Sales[[#This Row],[OrderDate]]</f>
        <v>10</v>
      </c>
      <c r="T1130" s="14" t="str">
        <f>IF(Sales[[#This Row],[Delivery Days]]&lt;=$W$2, "Timely", "Delayed")</f>
        <v>Delayed</v>
      </c>
      <c r="U1130" t="s">
        <v>2922</v>
      </c>
    </row>
    <row r="1131" spans="1:21" x14ac:dyDescent="0.25">
      <c r="A1131" s="4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 s="6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1">
        <v>45696</v>
      </c>
      <c r="R1131" s="1">
        <v>45701</v>
      </c>
      <c r="S1131" s="14">
        <f>Sales[[#This Row],[DeliveryDate]]-Sales[[#This Row],[OrderDate]]</f>
        <v>5</v>
      </c>
      <c r="T1131" s="14" t="str">
        <f>IF(Sales[[#This Row],[Delivery Days]]&lt;=$W$2, "Timely", "Delayed")</f>
        <v>Timely</v>
      </c>
      <c r="U1131" t="s">
        <v>2924</v>
      </c>
    </row>
    <row r="1132" spans="1:21" x14ac:dyDescent="0.25">
      <c r="A1132" s="4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 s="6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1">
        <v>45402</v>
      </c>
      <c r="R1132" s="1">
        <v>45404</v>
      </c>
      <c r="S1132" s="14">
        <f>Sales[[#This Row],[DeliveryDate]]-Sales[[#This Row],[OrderDate]]</f>
        <v>2</v>
      </c>
      <c r="T1132" s="14" t="str">
        <f>IF(Sales[[#This Row],[Delivery Days]]&lt;=$W$2, "Timely", "Delayed")</f>
        <v>Timely</v>
      </c>
      <c r="U1132" t="s">
        <v>2923</v>
      </c>
    </row>
    <row r="1133" spans="1:21" x14ac:dyDescent="0.25">
      <c r="A1133" s="4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 s="6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1">
        <v>45813</v>
      </c>
      <c r="R1133" s="1">
        <v>45815</v>
      </c>
      <c r="S1133" s="14">
        <f>Sales[[#This Row],[DeliveryDate]]-Sales[[#This Row],[OrderDate]]</f>
        <v>2</v>
      </c>
      <c r="T1133" s="14" t="str">
        <f>IF(Sales[[#This Row],[Delivery Days]]&lt;=$W$2, "Timely", "Delayed")</f>
        <v>Timely</v>
      </c>
      <c r="U1133" t="s">
        <v>2922</v>
      </c>
    </row>
    <row r="1134" spans="1:21" x14ac:dyDescent="0.25">
      <c r="A1134" s="4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 s="6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1">
        <v>45772</v>
      </c>
      <c r="R1134" s="1">
        <v>45780</v>
      </c>
      <c r="S1134" s="14">
        <f>Sales[[#This Row],[DeliveryDate]]-Sales[[#This Row],[OrderDate]]</f>
        <v>8</v>
      </c>
      <c r="T1134" s="14" t="str">
        <f>IF(Sales[[#This Row],[Delivery Days]]&lt;=$W$2, "Timely", "Delayed")</f>
        <v>Delayed</v>
      </c>
      <c r="U1134" t="s">
        <v>2923</v>
      </c>
    </row>
    <row r="1135" spans="1:21" x14ac:dyDescent="0.25">
      <c r="A1135" s="4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 s="6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1">
        <v>45175</v>
      </c>
      <c r="R1135" s="1">
        <v>45182</v>
      </c>
      <c r="S1135" s="14">
        <f>Sales[[#This Row],[DeliveryDate]]-Sales[[#This Row],[OrderDate]]</f>
        <v>7</v>
      </c>
      <c r="T1135" s="14" t="str">
        <f>IF(Sales[[#This Row],[Delivery Days]]&lt;=$W$2, "Timely", "Delayed")</f>
        <v>Delayed</v>
      </c>
      <c r="U1135" t="s">
        <v>2925</v>
      </c>
    </row>
    <row r="1136" spans="1:21" x14ac:dyDescent="0.25">
      <c r="A1136" s="4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 s="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1">
        <v>45198</v>
      </c>
      <c r="R1136" s="1">
        <v>45201</v>
      </c>
      <c r="S1136" s="14">
        <f>Sales[[#This Row],[DeliveryDate]]-Sales[[#This Row],[OrderDate]]</f>
        <v>3</v>
      </c>
      <c r="T1136" s="14" t="str">
        <f>IF(Sales[[#This Row],[Delivery Days]]&lt;=$W$2, "Timely", "Delayed")</f>
        <v>Timely</v>
      </c>
      <c r="U1136" t="s">
        <v>2922</v>
      </c>
    </row>
    <row r="1137" spans="1:21" x14ac:dyDescent="0.25">
      <c r="A1137" s="4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 s="6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1">
        <v>45433</v>
      </c>
      <c r="R1137" s="1">
        <v>45435</v>
      </c>
      <c r="S1137" s="14">
        <f>Sales[[#This Row],[DeliveryDate]]-Sales[[#This Row],[OrderDate]]</f>
        <v>2</v>
      </c>
      <c r="T1137" s="14" t="str">
        <f>IF(Sales[[#This Row],[Delivery Days]]&lt;=$W$2, "Timely", "Delayed")</f>
        <v>Timely</v>
      </c>
      <c r="U1137" t="s">
        <v>2925</v>
      </c>
    </row>
    <row r="1138" spans="1:21" x14ac:dyDescent="0.25">
      <c r="A1138" s="4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 s="6">
        <v>317.98</v>
      </c>
      <c r="K1138" t="s">
        <v>43</v>
      </c>
      <c r="L1138" t="s">
        <v>2941</v>
      </c>
      <c r="M1138">
        <v>0</v>
      </c>
      <c r="N1138" t="s">
        <v>1187</v>
      </c>
      <c r="O1138" t="s">
        <v>2613</v>
      </c>
      <c r="P1138">
        <v>48.32</v>
      </c>
      <c r="Q1138" s="1">
        <v>45760</v>
      </c>
      <c r="R1138" s="1">
        <v>45766</v>
      </c>
      <c r="S1138" s="14">
        <f>Sales[[#This Row],[DeliveryDate]]-Sales[[#This Row],[OrderDate]]</f>
        <v>6</v>
      </c>
      <c r="T1138" s="14" t="str">
        <f>IF(Sales[[#This Row],[Delivery Days]]&lt;=$W$2, "Timely", "Delayed")</f>
        <v>Timely</v>
      </c>
      <c r="U1138" t="s">
        <v>2926</v>
      </c>
    </row>
    <row r="1139" spans="1:21" x14ac:dyDescent="0.25">
      <c r="A1139" s="4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 s="6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1">
        <v>45612</v>
      </c>
      <c r="R1139" s="1">
        <v>45616</v>
      </c>
      <c r="S1139" s="14">
        <f>Sales[[#This Row],[DeliveryDate]]-Sales[[#This Row],[OrderDate]]</f>
        <v>4</v>
      </c>
      <c r="T1139" s="14" t="str">
        <f>IF(Sales[[#This Row],[Delivery Days]]&lt;=$W$2, "Timely", "Delayed")</f>
        <v>Timely</v>
      </c>
      <c r="U1139" t="s">
        <v>2922</v>
      </c>
    </row>
    <row r="1140" spans="1:21" x14ac:dyDescent="0.25">
      <c r="A1140" s="4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 s="6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1">
        <v>45493</v>
      </c>
      <c r="R1140" s="1">
        <v>45501</v>
      </c>
      <c r="S1140" s="14">
        <f>Sales[[#This Row],[DeliveryDate]]-Sales[[#This Row],[OrderDate]]</f>
        <v>8</v>
      </c>
      <c r="T1140" s="14" t="str">
        <f>IF(Sales[[#This Row],[Delivery Days]]&lt;=$W$2, "Timely", "Delayed")</f>
        <v>Delayed</v>
      </c>
      <c r="U1140" t="s">
        <v>2924</v>
      </c>
    </row>
    <row r="1141" spans="1:21" x14ac:dyDescent="0.25">
      <c r="A1141" s="4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 s="6">
        <v>1137.538</v>
      </c>
      <c r="K1141" t="s">
        <v>44</v>
      </c>
      <c r="L1141" t="s">
        <v>2941</v>
      </c>
      <c r="M1141">
        <v>0</v>
      </c>
      <c r="N1141" t="s">
        <v>1190</v>
      </c>
      <c r="O1141" t="s">
        <v>2615</v>
      </c>
      <c r="P1141">
        <v>11.49</v>
      </c>
      <c r="Q1141" s="1">
        <v>45066</v>
      </c>
      <c r="R1141" s="1">
        <v>45073</v>
      </c>
      <c r="S1141" s="14">
        <f>Sales[[#This Row],[DeliveryDate]]-Sales[[#This Row],[OrderDate]]</f>
        <v>7</v>
      </c>
      <c r="T1141" s="14" t="str">
        <f>IF(Sales[[#This Row],[Delivery Days]]&lt;=$W$2, "Timely", "Delayed")</f>
        <v>Delayed</v>
      </c>
      <c r="U1141" t="s">
        <v>2924</v>
      </c>
    </row>
    <row r="1142" spans="1:21" x14ac:dyDescent="0.25">
      <c r="A1142" s="4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 s="6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1">
        <v>45221</v>
      </c>
      <c r="R1142" s="1">
        <v>45225</v>
      </c>
      <c r="S1142" s="14">
        <f>Sales[[#This Row],[DeliveryDate]]-Sales[[#This Row],[OrderDate]]</f>
        <v>4</v>
      </c>
      <c r="T1142" s="14" t="str">
        <f>IF(Sales[[#This Row],[Delivery Days]]&lt;=$W$2, "Timely", "Delayed")</f>
        <v>Timely</v>
      </c>
      <c r="U1142" t="s">
        <v>2926</v>
      </c>
    </row>
    <row r="1143" spans="1:21" x14ac:dyDescent="0.25">
      <c r="A1143" s="4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 s="6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1">
        <v>45795</v>
      </c>
      <c r="R1143" s="1">
        <v>45798</v>
      </c>
      <c r="S1143" s="14">
        <f>Sales[[#This Row],[DeliveryDate]]-Sales[[#This Row],[OrderDate]]</f>
        <v>3</v>
      </c>
      <c r="T1143" s="14" t="str">
        <f>IF(Sales[[#This Row],[Delivery Days]]&lt;=$W$2, "Timely", "Delayed")</f>
        <v>Timely</v>
      </c>
      <c r="U1143" t="s">
        <v>2924</v>
      </c>
    </row>
    <row r="1144" spans="1:21" x14ac:dyDescent="0.25">
      <c r="A1144" s="4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 s="6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1">
        <v>45354</v>
      </c>
      <c r="R1144" s="1">
        <v>45357</v>
      </c>
      <c r="S1144" s="14">
        <f>Sales[[#This Row],[DeliveryDate]]-Sales[[#This Row],[OrderDate]]</f>
        <v>3</v>
      </c>
      <c r="T1144" s="14" t="str">
        <f>IF(Sales[[#This Row],[Delivery Days]]&lt;=$W$2, "Timely", "Delayed")</f>
        <v>Timely</v>
      </c>
      <c r="U1144" t="s">
        <v>2923</v>
      </c>
    </row>
    <row r="1145" spans="1:21" x14ac:dyDescent="0.25">
      <c r="A1145" s="4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 s="6">
        <v>1934.6579999999999</v>
      </c>
      <c r="K1145" t="s">
        <v>44</v>
      </c>
      <c r="L1145" t="s">
        <v>2941</v>
      </c>
      <c r="M1145">
        <v>0</v>
      </c>
      <c r="N1145" t="s">
        <v>1194</v>
      </c>
      <c r="O1145" t="s">
        <v>2556</v>
      </c>
      <c r="P1145">
        <v>7.34</v>
      </c>
      <c r="Q1145" s="1">
        <v>45130</v>
      </c>
      <c r="R1145" s="1">
        <v>45140</v>
      </c>
      <c r="S1145" s="14">
        <f>Sales[[#This Row],[DeliveryDate]]-Sales[[#This Row],[OrderDate]]</f>
        <v>10</v>
      </c>
      <c r="T1145" s="14" t="str">
        <f>IF(Sales[[#This Row],[Delivery Days]]&lt;=$W$2, "Timely", "Delayed")</f>
        <v>Delayed</v>
      </c>
      <c r="U1145" t="s">
        <v>2922</v>
      </c>
    </row>
    <row r="1146" spans="1:21" x14ac:dyDescent="0.25">
      <c r="A1146" s="4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 s="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1">
        <v>45697</v>
      </c>
      <c r="R1146" s="1">
        <v>45702</v>
      </c>
      <c r="S1146" s="14">
        <f>Sales[[#This Row],[DeliveryDate]]-Sales[[#This Row],[OrderDate]]</f>
        <v>5</v>
      </c>
      <c r="T1146" s="14" t="str">
        <f>IF(Sales[[#This Row],[Delivery Days]]&lt;=$W$2, "Timely", "Delayed")</f>
        <v>Timely</v>
      </c>
      <c r="U1146" t="s">
        <v>2924</v>
      </c>
    </row>
    <row r="1147" spans="1:21" x14ac:dyDescent="0.25">
      <c r="A1147" s="4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 s="6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1">
        <v>44943</v>
      </c>
      <c r="R1147" s="1">
        <v>44949</v>
      </c>
      <c r="S1147" s="14">
        <f>Sales[[#This Row],[DeliveryDate]]-Sales[[#This Row],[OrderDate]]</f>
        <v>6</v>
      </c>
      <c r="T1147" s="14" t="str">
        <f>IF(Sales[[#This Row],[Delivery Days]]&lt;=$W$2, "Timely", "Delayed")</f>
        <v>Timely</v>
      </c>
      <c r="U1147" t="s">
        <v>2923</v>
      </c>
    </row>
    <row r="1148" spans="1:21" x14ac:dyDescent="0.25">
      <c r="A1148" s="4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 s="6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1">
        <v>45186</v>
      </c>
      <c r="R1148" s="1">
        <v>45195</v>
      </c>
      <c r="S1148" s="14">
        <f>Sales[[#This Row],[DeliveryDate]]-Sales[[#This Row],[OrderDate]]</f>
        <v>9</v>
      </c>
      <c r="T1148" s="14" t="str">
        <f>IF(Sales[[#This Row],[Delivery Days]]&lt;=$W$2, "Timely", "Delayed")</f>
        <v>Delayed</v>
      </c>
      <c r="U1148" t="s">
        <v>2924</v>
      </c>
    </row>
    <row r="1149" spans="1:21" x14ac:dyDescent="0.25">
      <c r="A1149" s="4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 s="6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1">
        <v>45703</v>
      </c>
      <c r="R1149" s="1">
        <v>45711</v>
      </c>
      <c r="S1149" s="14">
        <f>Sales[[#This Row],[DeliveryDate]]-Sales[[#This Row],[OrderDate]]</f>
        <v>8</v>
      </c>
      <c r="T1149" s="14" t="str">
        <f>IF(Sales[[#This Row],[Delivery Days]]&lt;=$W$2, "Timely", "Delayed")</f>
        <v>Delayed</v>
      </c>
      <c r="U1149" t="s">
        <v>2924</v>
      </c>
    </row>
    <row r="1150" spans="1:21" x14ac:dyDescent="0.25">
      <c r="A1150" s="4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 s="6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1">
        <v>45206</v>
      </c>
      <c r="R1150" s="1">
        <v>45208</v>
      </c>
      <c r="S1150" s="14">
        <f>Sales[[#This Row],[DeliveryDate]]-Sales[[#This Row],[OrderDate]]</f>
        <v>2</v>
      </c>
      <c r="T1150" s="14" t="str">
        <f>IF(Sales[[#This Row],[Delivery Days]]&lt;=$W$2, "Timely", "Delayed")</f>
        <v>Timely</v>
      </c>
      <c r="U1150" t="s">
        <v>2926</v>
      </c>
    </row>
    <row r="1151" spans="1:21" x14ac:dyDescent="0.25">
      <c r="A1151" s="4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 s="6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1">
        <v>45146</v>
      </c>
      <c r="R1151" s="1">
        <v>45148</v>
      </c>
      <c r="S1151" s="14">
        <f>Sales[[#This Row],[DeliveryDate]]-Sales[[#This Row],[OrderDate]]</f>
        <v>2</v>
      </c>
      <c r="T1151" s="14" t="str">
        <f>IF(Sales[[#This Row],[Delivery Days]]&lt;=$W$2, "Timely", "Delayed")</f>
        <v>Timely</v>
      </c>
      <c r="U1151" t="s">
        <v>2926</v>
      </c>
    </row>
    <row r="1152" spans="1:21" x14ac:dyDescent="0.25">
      <c r="A1152" s="4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 s="6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1">
        <v>45159</v>
      </c>
      <c r="R1152" s="1">
        <v>45165</v>
      </c>
      <c r="S1152" s="14">
        <f>Sales[[#This Row],[DeliveryDate]]-Sales[[#This Row],[OrderDate]]</f>
        <v>6</v>
      </c>
      <c r="T1152" s="14" t="str">
        <f>IF(Sales[[#This Row],[Delivery Days]]&lt;=$W$2, "Timely", "Delayed")</f>
        <v>Timely</v>
      </c>
      <c r="U1152" t="s">
        <v>2922</v>
      </c>
    </row>
    <row r="1153" spans="1:21" x14ac:dyDescent="0.25">
      <c r="A1153" s="4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 s="6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1">
        <v>45480</v>
      </c>
      <c r="R1153" s="1">
        <v>45484</v>
      </c>
      <c r="S1153" s="14">
        <f>Sales[[#This Row],[DeliveryDate]]-Sales[[#This Row],[OrderDate]]</f>
        <v>4</v>
      </c>
      <c r="T1153" s="14" t="str">
        <f>IF(Sales[[#This Row],[Delivery Days]]&lt;=$W$2, "Timely", "Delayed")</f>
        <v>Timely</v>
      </c>
      <c r="U1153" t="s">
        <v>2924</v>
      </c>
    </row>
    <row r="1154" spans="1:21" x14ac:dyDescent="0.25">
      <c r="A1154" s="4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 s="6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1">
        <v>45674</v>
      </c>
      <c r="R1154" s="1">
        <v>45681</v>
      </c>
      <c r="S1154" s="14">
        <f>Sales[[#This Row],[DeliveryDate]]-Sales[[#This Row],[OrderDate]]</f>
        <v>7</v>
      </c>
      <c r="T1154" s="14" t="str">
        <f>IF(Sales[[#This Row],[Delivery Days]]&lt;=$W$2, "Timely", "Delayed")</f>
        <v>Delayed</v>
      </c>
      <c r="U1154" t="s">
        <v>2923</v>
      </c>
    </row>
    <row r="1155" spans="1:21" x14ac:dyDescent="0.25">
      <c r="A1155" s="4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 s="6">
        <v>3150.6779999999999</v>
      </c>
      <c r="K1155" t="s">
        <v>47</v>
      </c>
      <c r="L1155" t="s">
        <v>2941</v>
      </c>
      <c r="M1155">
        <v>0</v>
      </c>
      <c r="N1155" t="s">
        <v>1204</v>
      </c>
      <c r="O1155" t="s">
        <v>2627</v>
      </c>
      <c r="P1155">
        <v>16</v>
      </c>
      <c r="Q1155" s="1">
        <v>45266</v>
      </c>
      <c r="R1155" s="1">
        <v>45276</v>
      </c>
      <c r="S1155" s="14">
        <f>Sales[[#This Row],[DeliveryDate]]-Sales[[#This Row],[OrderDate]]</f>
        <v>10</v>
      </c>
      <c r="T1155" s="14" t="str">
        <f>IF(Sales[[#This Row],[Delivery Days]]&lt;=$W$2, "Timely", "Delayed")</f>
        <v>Delayed</v>
      </c>
      <c r="U1155" t="s">
        <v>2924</v>
      </c>
    </row>
    <row r="1156" spans="1:21" x14ac:dyDescent="0.25">
      <c r="A1156" s="4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 s="6">
        <v>291.327</v>
      </c>
      <c r="K1156" t="s">
        <v>47</v>
      </c>
      <c r="L1156" t="s">
        <v>2941</v>
      </c>
      <c r="M1156">
        <v>0</v>
      </c>
      <c r="N1156" t="s">
        <v>1205</v>
      </c>
      <c r="O1156" t="s">
        <v>2628</v>
      </c>
      <c r="P1156">
        <v>31.55</v>
      </c>
      <c r="Q1156" s="1">
        <v>44986</v>
      </c>
      <c r="R1156" s="1">
        <v>44989</v>
      </c>
      <c r="S1156" s="14">
        <f>Sales[[#This Row],[DeliveryDate]]-Sales[[#This Row],[OrderDate]]</f>
        <v>3</v>
      </c>
      <c r="T1156" s="14" t="str">
        <f>IF(Sales[[#This Row],[Delivery Days]]&lt;=$W$2, "Timely", "Delayed")</f>
        <v>Timely</v>
      </c>
      <c r="U1156" t="s">
        <v>2923</v>
      </c>
    </row>
    <row r="1157" spans="1:21" x14ac:dyDescent="0.25">
      <c r="A1157" s="4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 s="6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1">
        <v>45699</v>
      </c>
      <c r="R1157" s="1">
        <v>45703</v>
      </c>
      <c r="S1157" s="14">
        <f>Sales[[#This Row],[DeliveryDate]]-Sales[[#This Row],[OrderDate]]</f>
        <v>4</v>
      </c>
      <c r="T1157" s="14" t="str">
        <f>IF(Sales[[#This Row],[Delivery Days]]&lt;=$W$2, "Timely", "Delayed")</f>
        <v>Timely</v>
      </c>
      <c r="U1157" t="s">
        <v>2924</v>
      </c>
    </row>
    <row r="1158" spans="1:21" x14ac:dyDescent="0.25">
      <c r="A1158" s="4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 s="6">
        <v>1896.5895</v>
      </c>
      <c r="K1158" t="s">
        <v>44</v>
      </c>
      <c r="L1158" t="s">
        <v>2941</v>
      </c>
      <c r="M1158">
        <v>0</v>
      </c>
      <c r="N1158" t="s">
        <v>1207</v>
      </c>
      <c r="O1158" t="s">
        <v>2630</v>
      </c>
      <c r="P1158">
        <v>27.98</v>
      </c>
      <c r="Q1158" s="1">
        <v>45097</v>
      </c>
      <c r="R1158" s="1">
        <v>45102</v>
      </c>
      <c r="S1158" s="14">
        <f>Sales[[#This Row],[DeliveryDate]]-Sales[[#This Row],[OrderDate]]</f>
        <v>5</v>
      </c>
      <c r="T1158" s="14" t="str">
        <f>IF(Sales[[#This Row],[Delivery Days]]&lt;=$W$2, "Timely", "Delayed")</f>
        <v>Timely</v>
      </c>
      <c r="U1158" t="s">
        <v>2925</v>
      </c>
    </row>
    <row r="1159" spans="1:21" x14ac:dyDescent="0.25">
      <c r="A1159" s="4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 s="6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1">
        <v>45351</v>
      </c>
      <c r="R1159" s="1">
        <v>45354</v>
      </c>
      <c r="S1159" s="14">
        <f>Sales[[#This Row],[DeliveryDate]]-Sales[[#This Row],[OrderDate]]</f>
        <v>3</v>
      </c>
      <c r="T1159" s="14" t="str">
        <f>IF(Sales[[#This Row],[Delivery Days]]&lt;=$W$2, "Timely", "Delayed")</f>
        <v>Timely</v>
      </c>
      <c r="U1159" t="s">
        <v>2926</v>
      </c>
    </row>
    <row r="1160" spans="1:21" x14ac:dyDescent="0.25">
      <c r="A1160" s="4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 s="6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1">
        <v>45838</v>
      </c>
      <c r="R1160" s="1">
        <v>45843</v>
      </c>
      <c r="S1160" s="14">
        <f>Sales[[#This Row],[DeliveryDate]]-Sales[[#This Row],[OrderDate]]</f>
        <v>5</v>
      </c>
      <c r="T1160" s="14" t="str">
        <f>IF(Sales[[#This Row],[Delivery Days]]&lt;=$W$2, "Timely", "Delayed")</f>
        <v>Timely</v>
      </c>
      <c r="U1160" t="s">
        <v>2924</v>
      </c>
    </row>
    <row r="1161" spans="1:21" x14ac:dyDescent="0.25">
      <c r="A1161" s="4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 s="6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1">
        <v>45523</v>
      </c>
      <c r="R1161" s="1">
        <v>45529</v>
      </c>
      <c r="S1161" s="14">
        <f>Sales[[#This Row],[DeliveryDate]]-Sales[[#This Row],[OrderDate]]</f>
        <v>6</v>
      </c>
      <c r="T1161" s="14" t="str">
        <f>IF(Sales[[#This Row],[Delivery Days]]&lt;=$W$2, "Timely", "Delayed")</f>
        <v>Timely</v>
      </c>
      <c r="U1161" t="s">
        <v>2924</v>
      </c>
    </row>
    <row r="1162" spans="1:21" x14ac:dyDescent="0.25">
      <c r="A1162" s="4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 s="6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1">
        <v>45306</v>
      </c>
      <c r="R1162" s="1">
        <v>45310</v>
      </c>
      <c r="S1162" s="14">
        <f>Sales[[#This Row],[DeliveryDate]]-Sales[[#This Row],[OrderDate]]</f>
        <v>4</v>
      </c>
      <c r="T1162" s="14" t="str">
        <f>IF(Sales[[#This Row],[Delivery Days]]&lt;=$W$2, "Timely", "Delayed")</f>
        <v>Timely</v>
      </c>
      <c r="U1162" t="s">
        <v>2925</v>
      </c>
    </row>
    <row r="1163" spans="1:21" x14ac:dyDescent="0.25">
      <c r="A1163" s="4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 s="6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1">
        <v>45512</v>
      </c>
      <c r="R1163" s="1">
        <v>45515</v>
      </c>
      <c r="S1163" s="14">
        <f>Sales[[#This Row],[DeliveryDate]]-Sales[[#This Row],[OrderDate]]</f>
        <v>3</v>
      </c>
      <c r="T1163" s="14" t="str">
        <f>IF(Sales[[#This Row],[Delivery Days]]&lt;=$W$2, "Timely", "Delayed")</f>
        <v>Timely</v>
      </c>
      <c r="U1163" t="s">
        <v>2925</v>
      </c>
    </row>
    <row r="1164" spans="1:21" x14ac:dyDescent="0.25">
      <c r="A1164" s="4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 s="6">
        <v>5782.4279999999999</v>
      </c>
      <c r="K1164" t="s">
        <v>44</v>
      </c>
      <c r="L1164" t="s">
        <v>2941</v>
      </c>
      <c r="M1164">
        <v>0</v>
      </c>
      <c r="N1164" t="s">
        <v>1213</v>
      </c>
      <c r="O1164" t="s">
        <v>2636</v>
      </c>
      <c r="P1164">
        <v>27.82</v>
      </c>
      <c r="Q1164" s="1">
        <v>45570</v>
      </c>
      <c r="R1164" s="1">
        <v>45572</v>
      </c>
      <c r="S1164" s="14">
        <f>Sales[[#This Row],[DeliveryDate]]-Sales[[#This Row],[OrderDate]]</f>
        <v>2</v>
      </c>
      <c r="T1164" s="14" t="str">
        <f>IF(Sales[[#This Row],[Delivery Days]]&lt;=$W$2, "Timely", "Delayed")</f>
        <v>Timely</v>
      </c>
      <c r="U1164" t="s">
        <v>2926</v>
      </c>
    </row>
    <row r="1165" spans="1:21" x14ac:dyDescent="0.25">
      <c r="A1165" s="4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 s="6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1">
        <v>45304</v>
      </c>
      <c r="R1165" s="1">
        <v>45312</v>
      </c>
      <c r="S1165" s="14">
        <f>Sales[[#This Row],[DeliveryDate]]-Sales[[#This Row],[OrderDate]]</f>
        <v>8</v>
      </c>
      <c r="T1165" s="14" t="str">
        <f>IF(Sales[[#This Row],[Delivery Days]]&lt;=$W$2, "Timely", "Delayed")</f>
        <v>Delayed</v>
      </c>
      <c r="U1165" t="s">
        <v>2923</v>
      </c>
    </row>
    <row r="1166" spans="1:21" x14ac:dyDescent="0.25">
      <c r="A1166" s="4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 s="6">
        <v>3015.0720000000001</v>
      </c>
      <c r="K1166" t="s">
        <v>46</v>
      </c>
      <c r="L1166" t="s">
        <v>2941</v>
      </c>
      <c r="M1166">
        <v>0</v>
      </c>
      <c r="N1166" t="s">
        <v>1215</v>
      </c>
      <c r="O1166" t="s">
        <v>2638</v>
      </c>
      <c r="P1166">
        <v>36.35</v>
      </c>
      <c r="Q1166" s="1">
        <v>45014</v>
      </c>
      <c r="R1166" s="1">
        <v>45020</v>
      </c>
      <c r="S1166" s="14">
        <f>Sales[[#This Row],[DeliveryDate]]-Sales[[#This Row],[OrderDate]]</f>
        <v>6</v>
      </c>
      <c r="T1166" s="14" t="str">
        <f>IF(Sales[[#This Row],[Delivery Days]]&lt;=$W$2, "Timely", "Delayed")</f>
        <v>Timely</v>
      </c>
      <c r="U1166" t="s">
        <v>2926</v>
      </c>
    </row>
    <row r="1167" spans="1:21" x14ac:dyDescent="0.25">
      <c r="A1167" s="4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 s="6">
        <v>505.98000000000008</v>
      </c>
      <c r="K1167" t="s">
        <v>45</v>
      </c>
      <c r="L1167" t="s">
        <v>2941</v>
      </c>
      <c r="M1167">
        <v>1</v>
      </c>
      <c r="N1167" t="s">
        <v>1216</v>
      </c>
      <c r="O1167" t="s">
        <v>1703</v>
      </c>
      <c r="P1167">
        <v>7.46</v>
      </c>
      <c r="Q1167" s="1">
        <v>45218</v>
      </c>
      <c r="R1167" s="1">
        <v>45222</v>
      </c>
      <c r="S1167" s="14">
        <f>Sales[[#This Row],[DeliveryDate]]-Sales[[#This Row],[OrderDate]]</f>
        <v>4</v>
      </c>
      <c r="T1167" s="14" t="str">
        <f>IF(Sales[[#This Row],[Delivery Days]]&lt;=$W$2, "Timely", "Delayed")</f>
        <v>Timely</v>
      </c>
      <c r="U1167" t="s">
        <v>2924</v>
      </c>
    </row>
    <row r="1168" spans="1:21" x14ac:dyDescent="0.25">
      <c r="A1168" s="4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 s="6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1">
        <v>45222</v>
      </c>
      <c r="R1168" s="1">
        <v>45231</v>
      </c>
      <c r="S1168" s="14">
        <f>Sales[[#This Row],[DeliveryDate]]-Sales[[#This Row],[OrderDate]]</f>
        <v>9</v>
      </c>
      <c r="T1168" s="14" t="str">
        <f>IF(Sales[[#This Row],[Delivery Days]]&lt;=$W$2, "Timely", "Delayed")</f>
        <v>Delayed</v>
      </c>
      <c r="U1168" t="s">
        <v>2926</v>
      </c>
    </row>
    <row r="1169" spans="1:21" x14ac:dyDescent="0.25">
      <c r="A1169" s="4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 s="6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1">
        <v>45009</v>
      </c>
      <c r="R1169" s="1">
        <v>45013</v>
      </c>
      <c r="S1169" s="14">
        <f>Sales[[#This Row],[DeliveryDate]]-Sales[[#This Row],[OrderDate]]</f>
        <v>4</v>
      </c>
      <c r="T1169" s="14" t="str">
        <f>IF(Sales[[#This Row],[Delivery Days]]&lt;=$W$2, "Timely", "Delayed")</f>
        <v>Timely</v>
      </c>
      <c r="U1169" t="s">
        <v>2923</v>
      </c>
    </row>
    <row r="1170" spans="1:21" x14ac:dyDescent="0.25">
      <c r="A1170" s="4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 s="6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1">
        <v>45513</v>
      </c>
      <c r="R1170" s="1">
        <v>45518</v>
      </c>
      <c r="S1170" s="14">
        <f>Sales[[#This Row],[DeliveryDate]]-Sales[[#This Row],[OrderDate]]</f>
        <v>5</v>
      </c>
      <c r="T1170" s="14" t="str">
        <f>IF(Sales[[#This Row],[Delivery Days]]&lt;=$W$2, "Timely", "Delayed")</f>
        <v>Timely</v>
      </c>
      <c r="U1170" t="s">
        <v>2926</v>
      </c>
    </row>
    <row r="1171" spans="1:21" x14ac:dyDescent="0.25">
      <c r="A1171" s="4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 s="6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1">
        <v>45042</v>
      </c>
      <c r="R1171" s="1">
        <v>45052</v>
      </c>
      <c r="S1171" s="14">
        <f>Sales[[#This Row],[DeliveryDate]]-Sales[[#This Row],[OrderDate]]</f>
        <v>10</v>
      </c>
      <c r="T1171" s="14" t="str">
        <f>IF(Sales[[#This Row],[Delivery Days]]&lt;=$W$2, "Timely", "Delayed")</f>
        <v>Delayed</v>
      </c>
      <c r="U1171" t="s">
        <v>2923</v>
      </c>
    </row>
    <row r="1172" spans="1:21" x14ac:dyDescent="0.25">
      <c r="A1172" s="4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 s="6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1">
        <v>45355</v>
      </c>
      <c r="R1172" s="1">
        <v>45363</v>
      </c>
      <c r="S1172" s="14">
        <f>Sales[[#This Row],[DeliveryDate]]-Sales[[#This Row],[OrderDate]]</f>
        <v>8</v>
      </c>
      <c r="T1172" s="14" t="str">
        <f>IF(Sales[[#This Row],[Delivery Days]]&lt;=$W$2, "Timely", "Delayed")</f>
        <v>Delayed</v>
      </c>
      <c r="U1172" t="s">
        <v>2926</v>
      </c>
    </row>
    <row r="1173" spans="1:21" x14ac:dyDescent="0.25">
      <c r="A1173" s="4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 s="6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1">
        <v>44971</v>
      </c>
      <c r="R1173" s="1">
        <v>44974</v>
      </c>
      <c r="S1173" s="14">
        <f>Sales[[#This Row],[DeliveryDate]]-Sales[[#This Row],[OrderDate]]</f>
        <v>3</v>
      </c>
      <c r="T1173" s="14" t="str">
        <f>IF(Sales[[#This Row],[Delivery Days]]&lt;=$W$2, "Timely", "Delayed")</f>
        <v>Timely</v>
      </c>
      <c r="U1173" t="s">
        <v>2922</v>
      </c>
    </row>
    <row r="1174" spans="1:21" x14ac:dyDescent="0.25">
      <c r="A1174" s="4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 s="6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1">
        <v>45044</v>
      </c>
      <c r="R1174" s="1">
        <v>45049</v>
      </c>
      <c r="S1174" s="14">
        <f>Sales[[#This Row],[DeliveryDate]]-Sales[[#This Row],[OrderDate]]</f>
        <v>5</v>
      </c>
      <c r="T1174" s="14" t="str">
        <f>IF(Sales[[#This Row],[Delivery Days]]&lt;=$W$2, "Timely", "Delayed")</f>
        <v>Timely</v>
      </c>
      <c r="U1174" t="s">
        <v>2926</v>
      </c>
    </row>
    <row r="1175" spans="1:21" x14ac:dyDescent="0.25">
      <c r="A1175" s="4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 s="6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1">
        <v>45354</v>
      </c>
      <c r="R1175" s="1">
        <v>45362</v>
      </c>
      <c r="S1175" s="14">
        <f>Sales[[#This Row],[DeliveryDate]]-Sales[[#This Row],[OrderDate]]</f>
        <v>8</v>
      </c>
      <c r="T1175" s="14" t="str">
        <f>IF(Sales[[#This Row],[Delivery Days]]&lt;=$W$2, "Timely", "Delayed")</f>
        <v>Delayed</v>
      </c>
      <c r="U1175" t="s">
        <v>2924</v>
      </c>
    </row>
    <row r="1176" spans="1:21" x14ac:dyDescent="0.25">
      <c r="A1176" s="4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 s="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1">
        <v>45539</v>
      </c>
      <c r="R1176" s="1">
        <v>45543</v>
      </c>
      <c r="S1176" s="14">
        <f>Sales[[#This Row],[DeliveryDate]]-Sales[[#This Row],[OrderDate]]</f>
        <v>4</v>
      </c>
      <c r="T1176" s="14" t="str">
        <f>IF(Sales[[#This Row],[Delivery Days]]&lt;=$W$2, "Timely", "Delayed")</f>
        <v>Timely</v>
      </c>
      <c r="U1176" t="s">
        <v>2926</v>
      </c>
    </row>
    <row r="1177" spans="1:21" x14ac:dyDescent="0.25">
      <c r="A1177" s="4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 s="6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1">
        <v>45656</v>
      </c>
      <c r="R1177" s="1">
        <v>45664</v>
      </c>
      <c r="S1177" s="14">
        <f>Sales[[#This Row],[DeliveryDate]]-Sales[[#This Row],[OrderDate]]</f>
        <v>8</v>
      </c>
      <c r="T1177" s="14" t="str">
        <f>IF(Sales[[#This Row],[Delivery Days]]&lt;=$W$2, "Timely", "Delayed")</f>
        <v>Delayed</v>
      </c>
      <c r="U1177" t="s">
        <v>2922</v>
      </c>
    </row>
    <row r="1178" spans="1:21" x14ac:dyDescent="0.25">
      <c r="A1178" s="4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 s="6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1">
        <v>45332</v>
      </c>
      <c r="R1178" s="1">
        <v>45338</v>
      </c>
      <c r="S1178" s="14">
        <f>Sales[[#This Row],[DeliveryDate]]-Sales[[#This Row],[OrderDate]]</f>
        <v>6</v>
      </c>
      <c r="T1178" s="14" t="str">
        <f>IF(Sales[[#This Row],[Delivery Days]]&lt;=$W$2, "Timely", "Delayed")</f>
        <v>Timely</v>
      </c>
      <c r="U1178" t="s">
        <v>2922</v>
      </c>
    </row>
    <row r="1179" spans="1:21" x14ac:dyDescent="0.25">
      <c r="A1179" s="4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 s="6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1">
        <v>45176</v>
      </c>
      <c r="R1179" s="1">
        <v>45184</v>
      </c>
      <c r="S1179" s="14">
        <f>Sales[[#This Row],[DeliveryDate]]-Sales[[#This Row],[OrderDate]]</f>
        <v>8</v>
      </c>
      <c r="T1179" s="14" t="str">
        <f>IF(Sales[[#This Row],[Delivery Days]]&lt;=$W$2, "Timely", "Delayed")</f>
        <v>Delayed</v>
      </c>
      <c r="U1179" t="s">
        <v>2925</v>
      </c>
    </row>
    <row r="1180" spans="1:21" x14ac:dyDescent="0.25">
      <c r="A1180" s="4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 s="6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1">
        <v>45149</v>
      </c>
      <c r="R1180" s="1">
        <v>45153</v>
      </c>
      <c r="S1180" s="14">
        <f>Sales[[#This Row],[DeliveryDate]]-Sales[[#This Row],[OrderDate]]</f>
        <v>4</v>
      </c>
      <c r="T1180" s="14" t="str">
        <f>IF(Sales[[#This Row],[Delivery Days]]&lt;=$W$2, "Timely", "Delayed")</f>
        <v>Timely</v>
      </c>
      <c r="U1180" t="s">
        <v>2922</v>
      </c>
    </row>
    <row r="1181" spans="1:21" x14ac:dyDescent="0.25">
      <c r="A1181" s="4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 s="6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1">
        <v>44997</v>
      </c>
      <c r="R1181" s="1">
        <v>45001</v>
      </c>
      <c r="S1181" s="14">
        <f>Sales[[#This Row],[DeliveryDate]]-Sales[[#This Row],[OrderDate]]</f>
        <v>4</v>
      </c>
      <c r="T1181" s="14" t="str">
        <f>IF(Sales[[#This Row],[Delivery Days]]&lt;=$W$2, "Timely", "Delayed")</f>
        <v>Timely</v>
      </c>
      <c r="U1181" t="s">
        <v>2926</v>
      </c>
    </row>
    <row r="1182" spans="1:21" x14ac:dyDescent="0.25">
      <c r="A1182" s="4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 s="6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1">
        <v>45014</v>
      </c>
      <c r="R1182" s="1">
        <v>45016</v>
      </c>
      <c r="S1182" s="14">
        <f>Sales[[#This Row],[DeliveryDate]]-Sales[[#This Row],[OrderDate]]</f>
        <v>2</v>
      </c>
      <c r="T1182" s="14" t="str">
        <f>IF(Sales[[#This Row],[Delivery Days]]&lt;=$W$2, "Timely", "Delayed")</f>
        <v>Timely</v>
      </c>
      <c r="U1182" t="s">
        <v>2925</v>
      </c>
    </row>
    <row r="1183" spans="1:21" x14ac:dyDescent="0.25">
      <c r="A1183" s="4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 s="6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1">
        <v>45705</v>
      </c>
      <c r="R1183" s="1">
        <v>45715</v>
      </c>
      <c r="S1183" s="14">
        <f>Sales[[#This Row],[DeliveryDate]]-Sales[[#This Row],[OrderDate]]</f>
        <v>10</v>
      </c>
      <c r="T1183" s="14" t="str">
        <f>IF(Sales[[#This Row],[Delivery Days]]&lt;=$W$2, "Timely", "Delayed")</f>
        <v>Delayed</v>
      </c>
      <c r="U1183" t="s">
        <v>2923</v>
      </c>
    </row>
    <row r="1184" spans="1:21" x14ac:dyDescent="0.25">
      <c r="A1184" s="4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 s="6">
        <v>2159.4450000000002</v>
      </c>
      <c r="K1184" t="s">
        <v>44</v>
      </c>
      <c r="L1184" t="s">
        <v>2941</v>
      </c>
      <c r="M1184">
        <v>0</v>
      </c>
      <c r="N1184" t="s">
        <v>1233</v>
      </c>
      <c r="O1184" t="s">
        <v>2655</v>
      </c>
      <c r="P1184">
        <v>10.19</v>
      </c>
      <c r="Q1184" s="1">
        <v>45298</v>
      </c>
      <c r="R1184" s="1">
        <v>45306</v>
      </c>
      <c r="S1184" s="14">
        <f>Sales[[#This Row],[DeliveryDate]]-Sales[[#This Row],[OrderDate]]</f>
        <v>8</v>
      </c>
      <c r="T1184" s="14" t="str">
        <f>IF(Sales[[#This Row],[Delivery Days]]&lt;=$W$2, "Timely", "Delayed")</f>
        <v>Delayed</v>
      </c>
      <c r="U1184" t="s">
        <v>2924</v>
      </c>
    </row>
    <row r="1185" spans="1:21" x14ac:dyDescent="0.25">
      <c r="A1185" s="4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 s="6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1">
        <v>44940</v>
      </c>
      <c r="R1185" s="1">
        <v>44946</v>
      </c>
      <c r="S1185" s="14">
        <f>Sales[[#This Row],[DeliveryDate]]-Sales[[#This Row],[OrderDate]]</f>
        <v>6</v>
      </c>
      <c r="T1185" s="14" t="str">
        <f>IF(Sales[[#This Row],[Delivery Days]]&lt;=$W$2, "Timely", "Delayed")</f>
        <v>Timely</v>
      </c>
      <c r="U1185" t="s">
        <v>2922</v>
      </c>
    </row>
    <row r="1186" spans="1:21" x14ac:dyDescent="0.25">
      <c r="A1186" s="4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 s="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1">
        <v>45294</v>
      </c>
      <c r="R1186" s="1">
        <v>45303</v>
      </c>
      <c r="S1186" s="14">
        <f>Sales[[#This Row],[DeliveryDate]]-Sales[[#This Row],[OrderDate]]</f>
        <v>9</v>
      </c>
      <c r="T1186" s="14" t="str">
        <f>IF(Sales[[#This Row],[Delivery Days]]&lt;=$W$2, "Timely", "Delayed")</f>
        <v>Delayed</v>
      </c>
      <c r="U1186" t="s">
        <v>2926</v>
      </c>
    </row>
    <row r="1187" spans="1:21" x14ac:dyDescent="0.25">
      <c r="A1187" s="4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 s="6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1">
        <v>45163</v>
      </c>
      <c r="R1187" s="1">
        <v>45166</v>
      </c>
      <c r="S1187" s="14">
        <f>Sales[[#This Row],[DeliveryDate]]-Sales[[#This Row],[OrderDate]]</f>
        <v>3</v>
      </c>
      <c r="T1187" s="14" t="str">
        <f>IF(Sales[[#This Row],[Delivery Days]]&lt;=$W$2, "Timely", "Delayed")</f>
        <v>Timely</v>
      </c>
      <c r="U1187" t="s">
        <v>2923</v>
      </c>
    </row>
    <row r="1188" spans="1:21" x14ac:dyDescent="0.25">
      <c r="A1188" s="4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 s="6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1">
        <v>45793</v>
      </c>
      <c r="R1188" s="1">
        <v>45802</v>
      </c>
      <c r="S1188" s="14">
        <f>Sales[[#This Row],[DeliveryDate]]-Sales[[#This Row],[OrderDate]]</f>
        <v>9</v>
      </c>
      <c r="T1188" s="14" t="str">
        <f>IF(Sales[[#This Row],[Delivery Days]]&lt;=$W$2, "Timely", "Delayed")</f>
        <v>Delayed</v>
      </c>
      <c r="U1188" t="s">
        <v>2924</v>
      </c>
    </row>
    <row r="1189" spans="1:21" x14ac:dyDescent="0.25">
      <c r="A1189" s="4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 s="6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1">
        <v>45290</v>
      </c>
      <c r="R1189" s="1">
        <v>45294</v>
      </c>
      <c r="S1189" s="14">
        <f>Sales[[#This Row],[DeliveryDate]]-Sales[[#This Row],[OrderDate]]</f>
        <v>4</v>
      </c>
      <c r="T1189" s="14" t="str">
        <f>IF(Sales[[#This Row],[Delivery Days]]&lt;=$W$2, "Timely", "Delayed")</f>
        <v>Timely</v>
      </c>
      <c r="U1189" t="s">
        <v>2923</v>
      </c>
    </row>
    <row r="1190" spans="1:21" x14ac:dyDescent="0.25">
      <c r="A1190" s="4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 s="6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1">
        <v>45571</v>
      </c>
      <c r="R1190" s="1">
        <v>45574</v>
      </c>
      <c r="S1190" s="14">
        <f>Sales[[#This Row],[DeliveryDate]]-Sales[[#This Row],[OrderDate]]</f>
        <v>3</v>
      </c>
      <c r="T1190" s="14" t="str">
        <f>IF(Sales[[#This Row],[Delivery Days]]&lt;=$W$2, "Timely", "Delayed")</f>
        <v>Timely</v>
      </c>
      <c r="U1190" t="s">
        <v>2923</v>
      </c>
    </row>
    <row r="1191" spans="1:21" x14ac:dyDescent="0.25">
      <c r="A1191" s="4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 s="6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1">
        <v>44997</v>
      </c>
      <c r="R1191" s="1">
        <v>45007</v>
      </c>
      <c r="S1191" s="14">
        <f>Sales[[#This Row],[DeliveryDate]]-Sales[[#This Row],[OrderDate]]</f>
        <v>10</v>
      </c>
      <c r="T1191" s="14" t="str">
        <f>IF(Sales[[#This Row],[Delivery Days]]&lt;=$W$2, "Timely", "Delayed")</f>
        <v>Delayed</v>
      </c>
      <c r="U1191" t="s">
        <v>2925</v>
      </c>
    </row>
    <row r="1192" spans="1:21" x14ac:dyDescent="0.25">
      <c r="A1192" s="4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 s="6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1">
        <v>45388</v>
      </c>
      <c r="R1192" s="1">
        <v>45390</v>
      </c>
      <c r="S1192" s="14">
        <f>Sales[[#This Row],[DeliveryDate]]-Sales[[#This Row],[OrderDate]]</f>
        <v>2</v>
      </c>
      <c r="T1192" s="14" t="str">
        <f>IF(Sales[[#This Row],[Delivery Days]]&lt;=$W$2, "Timely", "Delayed")</f>
        <v>Timely</v>
      </c>
      <c r="U1192" t="s">
        <v>2924</v>
      </c>
    </row>
    <row r="1193" spans="1:21" x14ac:dyDescent="0.25">
      <c r="A1193" s="4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 s="6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1">
        <v>44946</v>
      </c>
      <c r="R1193" s="1">
        <v>44951</v>
      </c>
      <c r="S1193" s="14">
        <f>Sales[[#This Row],[DeliveryDate]]-Sales[[#This Row],[OrderDate]]</f>
        <v>5</v>
      </c>
      <c r="T1193" s="14" t="str">
        <f>IF(Sales[[#This Row],[Delivery Days]]&lt;=$W$2, "Timely", "Delayed")</f>
        <v>Timely</v>
      </c>
      <c r="U1193" t="s">
        <v>2924</v>
      </c>
    </row>
    <row r="1194" spans="1:21" x14ac:dyDescent="0.25">
      <c r="A1194" s="4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 s="6">
        <v>1109.9324999999999</v>
      </c>
      <c r="K1194" t="s">
        <v>45</v>
      </c>
      <c r="L1194" t="s">
        <v>2941</v>
      </c>
      <c r="M1194">
        <v>0</v>
      </c>
      <c r="N1194" t="s">
        <v>1243</v>
      </c>
      <c r="O1194" t="s">
        <v>2664</v>
      </c>
      <c r="P1194">
        <v>20.87</v>
      </c>
      <c r="Q1194" s="1">
        <v>45481</v>
      </c>
      <c r="R1194" s="1">
        <v>45485</v>
      </c>
      <c r="S1194" s="14">
        <f>Sales[[#This Row],[DeliveryDate]]-Sales[[#This Row],[OrderDate]]</f>
        <v>4</v>
      </c>
      <c r="T1194" s="14" t="str">
        <f>IF(Sales[[#This Row],[Delivery Days]]&lt;=$W$2, "Timely", "Delayed")</f>
        <v>Timely</v>
      </c>
      <c r="U1194" t="s">
        <v>2926</v>
      </c>
    </row>
    <row r="1195" spans="1:21" x14ac:dyDescent="0.25">
      <c r="A1195" s="4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 s="6">
        <v>136.22999999999999</v>
      </c>
      <c r="K1195" t="s">
        <v>43</v>
      </c>
      <c r="L1195" t="s">
        <v>2941</v>
      </c>
      <c r="M1195">
        <v>0</v>
      </c>
      <c r="N1195" t="s">
        <v>1244</v>
      </c>
      <c r="O1195" t="s">
        <v>2665</v>
      </c>
      <c r="P1195">
        <v>26.66</v>
      </c>
      <c r="Q1195" s="1">
        <v>45205</v>
      </c>
      <c r="R1195" s="1">
        <v>45215</v>
      </c>
      <c r="S1195" s="14">
        <f>Sales[[#This Row],[DeliveryDate]]-Sales[[#This Row],[OrderDate]]</f>
        <v>10</v>
      </c>
      <c r="T1195" s="14" t="str">
        <f>IF(Sales[[#This Row],[Delivery Days]]&lt;=$W$2, "Timely", "Delayed")</f>
        <v>Delayed</v>
      </c>
      <c r="U1195" t="s">
        <v>2924</v>
      </c>
    </row>
    <row r="1196" spans="1:21" x14ac:dyDescent="0.25">
      <c r="A1196" s="4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 s="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1">
        <v>45180</v>
      </c>
      <c r="R1196" s="1">
        <v>45187</v>
      </c>
      <c r="S1196" s="14">
        <f>Sales[[#This Row],[DeliveryDate]]-Sales[[#This Row],[OrderDate]]</f>
        <v>7</v>
      </c>
      <c r="T1196" s="14" t="str">
        <f>IF(Sales[[#This Row],[Delivery Days]]&lt;=$W$2, "Timely", "Delayed")</f>
        <v>Delayed</v>
      </c>
      <c r="U1196" t="s">
        <v>2922</v>
      </c>
    </row>
    <row r="1197" spans="1:21" x14ac:dyDescent="0.25">
      <c r="A1197" s="4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 s="6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1">
        <v>45183</v>
      </c>
      <c r="R1197" s="1">
        <v>45188</v>
      </c>
      <c r="S1197" s="14">
        <f>Sales[[#This Row],[DeliveryDate]]-Sales[[#This Row],[OrderDate]]</f>
        <v>5</v>
      </c>
      <c r="T1197" s="14" t="str">
        <f>IF(Sales[[#This Row],[Delivery Days]]&lt;=$W$2, "Timely", "Delayed")</f>
        <v>Timely</v>
      </c>
      <c r="U1197" t="s">
        <v>2924</v>
      </c>
    </row>
    <row r="1198" spans="1:21" x14ac:dyDescent="0.25">
      <c r="A1198" s="4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 s="6">
        <v>1556.7919999999999</v>
      </c>
      <c r="K1198" t="s">
        <v>43</v>
      </c>
      <c r="L1198" t="s">
        <v>2941</v>
      </c>
      <c r="M1198">
        <v>0</v>
      </c>
      <c r="N1198" t="s">
        <v>1247</v>
      </c>
      <c r="O1198" t="s">
        <v>1760</v>
      </c>
      <c r="P1198">
        <v>43.85</v>
      </c>
      <c r="Q1198" s="1">
        <v>45236</v>
      </c>
      <c r="R1198" s="1">
        <v>45241</v>
      </c>
      <c r="S1198" s="14">
        <f>Sales[[#This Row],[DeliveryDate]]-Sales[[#This Row],[OrderDate]]</f>
        <v>5</v>
      </c>
      <c r="T1198" s="14" t="str">
        <f>IF(Sales[[#This Row],[Delivery Days]]&lt;=$W$2, "Timely", "Delayed")</f>
        <v>Timely</v>
      </c>
      <c r="U1198" t="s">
        <v>2924</v>
      </c>
    </row>
    <row r="1199" spans="1:21" x14ac:dyDescent="0.25">
      <c r="A1199" s="4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 s="6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1">
        <v>45466</v>
      </c>
      <c r="R1199" s="1">
        <v>45473</v>
      </c>
      <c r="S1199" s="14">
        <f>Sales[[#This Row],[DeliveryDate]]-Sales[[#This Row],[OrderDate]]</f>
        <v>7</v>
      </c>
      <c r="T1199" s="14" t="str">
        <f>IF(Sales[[#This Row],[Delivery Days]]&lt;=$W$2, "Timely", "Delayed")</f>
        <v>Delayed</v>
      </c>
      <c r="U1199" t="s">
        <v>2924</v>
      </c>
    </row>
    <row r="1200" spans="1:21" x14ac:dyDescent="0.25">
      <c r="A1200" s="4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 s="6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1">
        <v>45015</v>
      </c>
      <c r="R1200" s="1">
        <v>45025</v>
      </c>
      <c r="S1200" s="14">
        <f>Sales[[#This Row],[DeliveryDate]]-Sales[[#This Row],[OrderDate]]</f>
        <v>10</v>
      </c>
      <c r="T1200" s="14" t="str">
        <f>IF(Sales[[#This Row],[Delivery Days]]&lt;=$W$2, "Timely", "Delayed")</f>
        <v>Delayed</v>
      </c>
      <c r="U1200" t="s">
        <v>2926</v>
      </c>
    </row>
    <row r="1201" spans="1:21" x14ac:dyDescent="0.25">
      <c r="A1201" s="4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 s="6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1">
        <v>45570</v>
      </c>
      <c r="R1201" s="1">
        <v>45580</v>
      </c>
      <c r="S1201" s="14">
        <f>Sales[[#This Row],[DeliveryDate]]-Sales[[#This Row],[OrderDate]]</f>
        <v>10</v>
      </c>
      <c r="T1201" s="14" t="str">
        <f>IF(Sales[[#This Row],[Delivery Days]]&lt;=$W$2, "Timely", "Delayed")</f>
        <v>Delayed</v>
      </c>
      <c r="U1201" t="s">
        <v>2922</v>
      </c>
    </row>
    <row r="1202" spans="1:21" x14ac:dyDescent="0.25">
      <c r="A1202" s="4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 s="6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1">
        <v>45004</v>
      </c>
      <c r="R1202" s="1">
        <v>45014</v>
      </c>
      <c r="S1202" s="14">
        <f>Sales[[#This Row],[DeliveryDate]]-Sales[[#This Row],[OrderDate]]</f>
        <v>10</v>
      </c>
      <c r="T1202" s="14" t="str">
        <f>IF(Sales[[#This Row],[Delivery Days]]&lt;=$W$2, "Timely", "Delayed")</f>
        <v>Delayed</v>
      </c>
      <c r="U1202" t="s">
        <v>2925</v>
      </c>
    </row>
    <row r="1203" spans="1:21" x14ac:dyDescent="0.25">
      <c r="A1203" s="4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 s="6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1">
        <v>45733</v>
      </c>
      <c r="R1203" s="1">
        <v>45737</v>
      </c>
      <c r="S1203" s="14">
        <f>Sales[[#This Row],[DeliveryDate]]-Sales[[#This Row],[OrderDate]]</f>
        <v>4</v>
      </c>
      <c r="T1203" s="14" t="str">
        <f>IF(Sales[[#This Row],[Delivery Days]]&lt;=$W$2, "Timely", "Delayed")</f>
        <v>Timely</v>
      </c>
      <c r="U1203" t="s">
        <v>2924</v>
      </c>
    </row>
    <row r="1204" spans="1:21" x14ac:dyDescent="0.25">
      <c r="A1204" s="4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 s="6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1">
        <v>45644</v>
      </c>
      <c r="R1204" s="1">
        <v>45654</v>
      </c>
      <c r="S1204" s="14">
        <f>Sales[[#This Row],[DeliveryDate]]-Sales[[#This Row],[OrderDate]]</f>
        <v>10</v>
      </c>
      <c r="T1204" s="14" t="str">
        <f>IF(Sales[[#This Row],[Delivery Days]]&lt;=$W$2, "Timely", "Delayed")</f>
        <v>Delayed</v>
      </c>
      <c r="U1204" t="s">
        <v>2925</v>
      </c>
    </row>
    <row r="1205" spans="1:21" x14ac:dyDescent="0.25">
      <c r="A1205" s="4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 s="6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1">
        <v>45663</v>
      </c>
      <c r="R1205" s="1">
        <v>45665</v>
      </c>
      <c r="S1205" s="14">
        <f>Sales[[#This Row],[DeliveryDate]]-Sales[[#This Row],[OrderDate]]</f>
        <v>2</v>
      </c>
      <c r="T1205" s="14" t="str">
        <f>IF(Sales[[#This Row],[Delivery Days]]&lt;=$W$2, "Timely", "Delayed")</f>
        <v>Timely</v>
      </c>
      <c r="U1205" t="s">
        <v>2926</v>
      </c>
    </row>
    <row r="1206" spans="1:21" x14ac:dyDescent="0.25">
      <c r="A1206" s="4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 s="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1">
        <v>45671</v>
      </c>
      <c r="R1206" s="1">
        <v>45677</v>
      </c>
      <c r="S1206" s="14">
        <f>Sales[[#This Row],[DeliveryDate]]-Sales[[#This Row],[OrderDate]]</f>
        <v>6</v>
      </c>
      <c r="T1206" s="14" t="str">
        <f>IF(Sales[[#This Row],[Delivery Days]]&lt;=$W$2, "Timely", "Delayed")</f>
        <v>Timely</v>
      </c>
      <c r="U1206" t="s">
        <v>2925</v>
      </c>
    </row>
    <row r="1207" spans="1:21" x14ac:dyDescent="0.25">
      <c r="A1207" s="4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 s="6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1">
        <v>44952</v>
      </c>
      <c r="R1207" s="1">
        <v>44956</v>
      </c>
      <c r="S1207" s="14">
        <f>Sales[[#This Row],[DeliveryDate]]-Sales[[#This Row],[OrderDate]]</f>
        <v>4</v>
      </c>
      <c r="T1207" s="14" t="str">
        <f>IF(Sales[[#This Row],[Delivery Days]]&lt;=$W$2, "Timely", "Delayed")</f>
        <v>Timely</v>
      </c>
      <c r="U1207" t="s">
        <v>2923</v>
      </c>
    </row>
    <row r="1208" spans="1:21" x14ac:dyDescent="0.25">
      <c r="A1208" s="4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 s="6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1">
        <v>45508</v>
      </c>
      <c r="R1208" s="1">
        <v>45518</v>
      </c>
      <c r="S1208" s="14">
        <f>Sales[[#This Row],[DeliveryDate]]-Sales[[#This Row],[OrderDate]]</f>
        <v>10</v>
      </c>
      <c r="T1208" s="14" t="str">
        <f>IF(Sales[[#This Row],[Delivery Days]]&lt;=$W$2, "Timely", "Delayed")</f>
        <v>Delayed</v>
      </c>
      <c r="U1208" t="s">
        <v>2924</v>
      </c>
    </row>
    <row r="1209" spans="1:21" x14ac:dyDescent="0.25">
      <c r="A1209" s="4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 s="6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1">
        <v>45335</v>
      </c>
      <c r="R1209" s="1">
        <v>45338</v>
      </c>
      <c r="S1209" s="14">
        <f>Sales[[#This Row],[DeliveryDate]]-Sales[[#This Row],[OrderDate]]</f>
        <v>3</v>
      </c>
      <c r="T1209" s="14" t="str">
        <f>IF(Sales[[#This Row],[Delivery Days]]&lt;=$W$2, "Timely", "Delayed")</f>
        <v>Timely</v>
      </c>
      <c r="U1209" t="s">
        <v>2924</v>
      </c>
    </row>
    <row r="1210" spans="1:21" x14ac:dyDescent="0.25">
      <c r="A1210" s="4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 s="6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1">
        <v>44968</v>
      </c>
      <c r="R1210" s="1">
        <v>44971</v>
      </c>
      <c r="S1210" s="14">
        <f>Sales[[#This Row],[DeliveryDate]]-Sales[[#This Row],[OrderDate]]</f>
        <v>3</v>
      </c>
      <c r="T1210" s="14" t="str">
        <f>IF(Sales[[#This Row],[Delivery Days]]&lt;=$W$2, "Timely", "Delayed")</f>
        <v>Timely</v>
      </c>
      <c r="U1210" t="s">
        <v>2925</v>
      </c>
    </row>
    <row r="1211" spans="1:21" x14ac:dyDescent="0.25">
      <c r="A1211" s="4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 s="6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1">
        <v>45460</v>
      </c>
      <c r="R1211" s="1">
        <v>45465</v>
      </c>
      <c r="S1211" s="14">
        <f>Sales[[#This Row],[DeliveryDate]]-Sales[[#This Row],[OrderDate]]</f>
        <v>5</v>
      </c>
      <c r="T1211" s="14" t="str">
        <f>IF(Sales[[#This Row],[Delivery Days]]&lt;=$W$2, "Timely", "Delayed")</f>
        <v>Timely</v>
      </c>
      <c r="U1211" t="s">
        <v>2922</v>
      </c>
    </row>
    <row r="1212" spans="1:21" x14ac:dyDescent="0.25">
      <c r="A1212" s="4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 s="6">
        <v>301.07850000000002</v>
      </c>
      <c r="K1212" t="s">
        <v>43</v>
      </c>
      <c r="L1212" t="s">
        <v>2941</v>
      </c>
      <c r="M1212">
        <v>0</v>
      </c>
      <c r="N1212" t="s">
        <v>1261</v>
      </c>
      <c r="O1212" t="s">
        <v>2680</v>
      </c>
      <c r="P1212">
        <v>26.16</v>
      </c>
      <c r="Q1212" s="1">
        <v>45449</v>
      </c>
      <c r="R1212" s="1">
        <v>45455</v>
      </c>
      <c r="S1212" s="14">
        <f>Sales[[#This Row],[DeliveryDate]]-Sales[[#This Row],[OrderDate]]</f>
        <v>6</v>
      </c>
      <c r="T1212" s="14" t="str">
        <f>IF(Sales[[#This Row],[Delivery Days]]&lt;=$W$2, "Timely", "Delayed")</f>
        <v>Timely</v>
      </c>
      <c r="U1212" t="s">
        <v>2923</v>
      </c>
    </row>
    <row r="1213" spans="1:21" x14ac:dyDescent="0.25">
      <c r="A1213" s="4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 s="6">
        <v>4290.9029999999993</v>
      </c>
      <c r="K1213" t="s">
        <v>44</v>
      </c>
      <c r="L1213" t="s">
        <v>2941</v>
      </c>
      <c r="M1213">
        <v>0</v>
      </c>
      <c r="N1213" t="s">
        <v>1262</v>
      </c>
      <c r="O1213" t="s">
        <v>2681</v>
      </c>
      <c r="P1213">
        <v>47.67</v>
      </c>
      <c r="Q1213" s="1">
        <v>45256</v>
      </c>
      <c r="R1213" s="1">
        <v>45262</v>
      </c>
      <c r="S1213" s="14">
        <f>Sales[[#This Row],[DeliveryDate]]-Sales[[#This Row],[OrderDate]]</f>
        <v>6</v>
      </c>
      <c r="T1213" s="14" t="str">
        <f>IF(Sales[[#This Row],[Delivery Days]]&lt;=$W$2, "Timely", "Delayed")</f>
        <v>Timely</v>
      </c>
      <c r="U1213" t="s">
        <v>2923</v>
      </c>
    </row>
    <row r="1214" spans="1:21" x14ac:dyDescent="0.25">
      <c r="A1214" s="4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 s="6">
        <v>8984.9249999999993</v>
      </c>
      <c r="K1214" t="s">
        <v>43</v>
      </c>
      <c r="L1214" t="s">
        <v>2941</v>
      </c>
      <c r="M1214">
        <v>0</v>
      </c>
      <c r="N1214" t="s">
        <v>1263</v>
      </c>
      <c r="O1214" t="s">
        <v>2682</v>
      </c>
      <c r="P1214">
        <v>42.15</v>
      </c>
      <c r="Q1214" s="1">
        <v>45389</v>
      </c>
      <c r="R1214" s="1">
        <v>45391</v>
      </c>
      <c r="S1214" s="14">
        <f>Sales[[#This Row],[DeliveryDate]]-Sales[[#This Row],[OrderDate]]</f>
        <v>2</v>
      </c>
      <c r="T1214" s="14" t="str">
        <f>IF(Sales[[#This Row],[Delivery Days]]&lt;=$W$2, "Timely", "Delayed")</f>
        <v>Timely</v>
      </c>
      <c r="U1214" t="s">
        <v>2926</v>
      </c>
    </row>
    <row r="1215" spans="1:21" x14ac:dyDescent="0.25">
      <c r="A1215" s="4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 s="6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1">
        <v>44960</v>
      </c>
      <c r="R1215" s="1">
        <v>44966</v>
      </c>
      <c r="S1215" s="14">
        <f>Sales[[#This Row],[DeliveryDate]]-Sales[[#This Row],[OrderDate]]</f>
        <v>6</v>
      </c>
      <c r="T1215" s="14" t="str">
        <f>IF(Sales[[#This Row],[Delivery Days]]&lt;=$W$2, "Timely", "Delayed")</f>
        <v>Timely</v>
      </c>
      <c r="U1215" t="s">
        <v>2926</v>
      </c>
    </row>
    <row r="1216" spans="1:21" x14ac:dyDescent="0.25">
      <c r="A1216" s="4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 s="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1">
        <v>45621</v>
      </c>
      <c r="R1216" s="1">
        <v>45626</v>
      </c>
      <c r="S1216" s="14">
        <f>Sales[[#This Row],[DeliveryDate]]-Sales[[#This Row],[OrderDate]]</f>
        <v>5</v>
      </c>
      <c r="T1216" s="14" t="str">
        <f>IF(Sales[[#This Row],[Delivery Days]]&lt;=$W$2, "Timely", "Delayed")</f>
        <v>Timely</v>
      </c>
      <c r="U1216" t="s">
        <v>2922</v>
      </c>
    </row>
    <row r="1217" spans="1:21" x14ac:dyDescent="0.25">
      <c r="A1217" s="4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 s="6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1">
        <v>45473</v>
      </c>
      <c r="R1217" s="1">
        <v>45476</v>
      </c>
      <c r="S1217" s="14">
        <f>Sales[[#This Row],[DeliveryDate]]-Sales[[#This Row],[OrderDate]]</f>
        <v>3</v>
      </c>
      <c r="T1217" s="14" t="str">
        <f>IF(Sales[[#This Row],[Delivery Days]]&lt;=$W$2, "Timely", "Delayed")</f>
        <v>Timely</v>
      </c>
      <c r="U1217" t="s">
        <v>2924</v>
      </c>
    </row>
    <row r="1218" spans="1:21" x14ac:dyDescent="0.25">
      <c r="A1218" s="4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 s="6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1">
        <v>45140</v>
      </c>
      <c r="R1218" s="1">
        <v>45149</v>
      </c>
      <c r="S1218" s="14">
        <f>Sales[[#This Row],[DeliveryDate]]-Sales[[#This Row],[OrderDate]]</f>
        <v>9</v>
      </c>
      <c r="T1218" s="14" t="str">
        <f>IF(Sales[[#This Row],[Delivery Days]]&lt;=$W$2, "Timely", "Delayed")</f>
        <v>Delayed</v>
      </c>
      <c r="U1218" t="s">
        <v>2923</v>
      </c>
    </row>
    <row r="1219" spans="1:21" x14ac:dyDescent="0.25">
      <c r="A1219" s="4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 s="6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1">
        <v>45344</v>
      </c>
      <c r="R1219" s="1">
        <v>45349</v>
      </c>
      <c r="S1219" s="14">
        <f>Sales[[#This Row],[DeliveryDate]]-Sales[[#This Row],[OrderDate]]</f>
        <v>5</v>
      </c>
      <c r="T1219" s="14" t="str">
        <f>IF(Sales[[#This Row],[Delivery Days]]&lt;=$W$2, "Timely", "Delayed")</f>
        <v>Timely</v>
      </c>
      <c r="U1219" t="s">
        <v>2923</v>
      </c>
    </row>
    <row r="1220" spans="1:21" x14ac:dyDescent="0.25">
      <c r="A1220" s="4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 s="6">
        <v>8122.5</v>
      </c>
      <c r="K1220" t="s">
        <v>44</v>
      </c>
      <c r="L1220" t="s">
        <v>2941</v>
      </c>
      <c r="M1220">
        <v>0</v>
      </c>
      <c r="N1220" t="s">
        <v>1269</v>
      </c>
      <c r="O1220" t="s">
        <v>2688</v>
      </c>
      <c r="P1220">
        <v>7.62</v>
      </c>
      <c r="Q1220" s="1">
        <v>45625</v>
      </c>
      <c r="R1220" s="1">
        <v>45635</v>
      </c>
      <c r="S1220" s="14">
        <f>Sales[[#This Row],[DeliveryDate]]-Sales[[#This Row],[OrderDate]]</f>
        <v>10</v>
      </c>
      <c r="T1220" s="14" t="str">
        <f>IF(Sales[[#This Row],[Delivery Days]]&lt;=$W$2, "Timely", "Delayed")</f>
        <v>Delayed</v>
      </c>
      <c r="U1220" t="s">
        <v>2924</v>
      </c>
    </row>
    <row r="1221" spans="1:21" x14ac:dyDescent="0.25">
      <c r="A1221" s="4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 s="6">
        <v>4496.5934999999999</v>
      </c>
      <c r="K1221" t="s">
        <v>43</v>
      </c>
      <c r="L1221" t="s">
        <v>2941</v>
      </c>
      <c r="M1221">
        <v>0</v>
      </c>
      <c r="N1221" t="s">
        <v>1270</v>
      </c>
      <c r="O1221" t="s">
        <v>2689</v>
      </c>
      <c r="P1221">
        <v>24.64</v>
      </c>
      <c r="Q1221" s="1">
        <v>45128</v>
      </c>
      <c r="R1221" s="1">
        <v>45138</v>
      </c>
      <c r="S1221" s="14">
        <f>Sales[[#This Row],[DeliveryDate]]-Sales[[#This Row],[OrderDate]]</f>
        <v>10</v>
      </c>
      <c r="T1221" s="14" t="str">
        <f>IF(Sales[[#This Row],[Delivery Days]]&lt;=$W$2, "Timely", "Delayed")</f>
        <v>Delayed</v>
      </c>
      <c r="U1221" t="s">
        <v>2924</v>
      </c>
    </row>
    <row r="1222" spans="1:21" x14ac:dyDescent="0.25">
      <c r="A1222" s="4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 s="6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1">
        <v>45030</v>
      </c>
      <c r="R1222" s="1">
        <v>45033</v>
      </c>
      <c r="S1222" s="14">
        <f>Sales[[#This Row],[DeliveryDate]]-Sales[[#This Row],[OrderDate]]</f>
        <v>3</v>
      </c>
      <c r="T1222" s="14" t="str">
        <f>IF(Sales[[#This Row],[Delivery Days]]&lt;=$W$2, "Timely", "Delayed")</f>
        <v>Timely</v>
      </c>
      <c r="U1222" t="s">
        <v>2925</v>
      </c>
    </row>
    <row r="1223" spans="1:21" x14ac:dyDescent="0.25">
      <c r="A1223" s="4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 s="6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1">
        <v>44958</v>
      </c>
      <c r="R1223" s="1">
        <v>44962</v>
      </c>
      <c r="S1223" s="14">
        <f>Sales[[#This Row],[DeliveryDate]]-Sales[[#This Row],[OrderDate]]</f>
        <v>4</v>
      </c>
      <c r="T1223" s="14" t="str">
        <f>IF(Sales[[#This Row],[Delivery Days]]&lt;=$W$2, "Timely", "Delayed")</f>
        <v>Timely</v>
      </c>
      <c r="U1223" t="s">
        <v>2924</v>
      </c>
    </row>
    <row r="1224" spans="1:21" x14ac:dyDescent="0.25">
      <c r="A1224" s="4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 s="6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1">
        <v>45473</v>
      </c>
      <c r="R1224" s="1">
        <v>45478</v>
      </c>
      <c r="S1224" s="14">
        <f>Sales[[#This Row],[DeliveryDate]]-Sales[[#This Row],[OrderDate]]</f>
        <v>5</v>
      </c>
      <c r="T1224" s="14" t="str">
        <f>IF(Sales[[#This Row],[Delivery Days]]&lt;=$W$2, "Timely", "Delayed")</f>
        <v>Timely</v>
      </c>
      <c r="U1224" t="s">
        <v>2922</v>
      </c>
    </row>
    <row r="1225" spans="1:21" x14ac:dyDescent="0.25">
      <c r="A1225" s="4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 s="6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1">
        <v>45217</v>
      </c>
      <c r="R1225" s="1">
        <v>45220</v>
      </c>
      <c r="S1225" s="14">
        <f>Sales[[#This Row],[DeliveryDate]]-Sales[[#This Row],[OrderDate]]</f>
        <v>3</v>
      </c>
      <c r="T1225" s="14" t="str">
        <f>IF(Sales[[#This Row],[Delivery Days]]&lt;=$W$2, "Timely", "Delayed")</f>
        <v>Timely</v>
      </c>
      <c r="U1225" t="s">
        <v>2925</v>
      </c>
    </row>
    <row r="1226" spans="1:21" x14ac:dyDescent="0.25">
      <c r="A1226" s="4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 s="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1">
        <v>45477</v>
      </c>
      <c r="R1226" s="1">
        <v>45486</v>
      </c>
      <c r="S1226" s="14">
        <f>Sales[[#This Row],[DeliveryDate]]-Sales[[#This Row],[OrderDate]]</f>
        <v>9</v>
      </c>
      <c r="T1226" s="14" t="str">
        <f>IF(Sales[[#This Row],[Delivery Days]]&lt;=$W$2, "Timely", "Delayed")</f>
        <v>Delayed</v>
      </c>
      <c r="U1226" t="s">
        <v>2922</v>
      </c>
    </row>
    <row r="1227" spans="1:21" x14ac:dyDescent="0.25">
      <c r="A1227" s="4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 s="6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1">
        <v>45477</v>
      </c>
      <c r="R1227" s="1">
        <v>45485</v>
      </c>
      <c r="S1227" s="14">
        <f>Sales[[#This Row],[DeliveryDate]]-Sales[[#This Row],[OrderDate]]</f>
        <v>8</v>
      </c>
      <c r="T1227" s="14" t="str">
        <f>IF(Sales[[#This Row],[Delivery Days]]&lt;=$W$2, "Timely", "Delayed")</f>
        <v>Delayed</v>
      </c>
      <c r="U1227" t="s">
        <v>2922</v>
      </c>
    </row>
    <row r="1228" spans="1:21" x14ac:dyDescent="0.25">
      <c r="A1228" s="4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 s="6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1">
        <v>45134</v>
      </c>
      <c r="R1228" s="1">
        <v>45140</v>
      </c>
      <c r="S1228" s="14">
        <f>Sales[[#This Row],[DeliveryDate]]-Sales[[#This Row],[OrderDate]]</f>
        <v>6</v>
      </c>
      <c r="T1228" s="14" t="str">
        <f>IF(Sales[[#This Row],[Delivery Days]]&lt;=$W$2, "Timely", "Delayed")</f>
        <v>Timely</v>
      </c>
      <c r="U1228" t="s">
        <v>2924</v>
      </c>
    </row>
    <row r="1229" spans="1:21" x14ac:dyDescent="0.25">
      <c r="A1229" s="4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 s="6">
        <v>795.34</v>
      </c>
      <c r="K1229" t="s">
        <v>44</v>
      </c>
      <c r="L1229" t="s">
        <v>2941</v>
      </c>
      <c r="M1229">
        <v>0</v>
      </c>
      <c r="N1229" t="s">
        <v>1278</v>
      </c>
      <c r="O1229" t="s">
        <v>2697</v>
      </c>
      <c r="P1229">
        <v>6.89</v>
      </c>
      <c r="Q1229" s="1">
        <v>45717</v>
      </c>
      <c r="R1229" s="1">
        <v>45722</v>
      </c>
      <c r="S1229" s="14">
        <f>Sales[[#This Row],[DeliveryDate]]-Sales[[#This Row],[OrderDate]]</f>
        <v>5</v>
      </c>
      <c r="T1229" s="14" t="str">
        <f>IF(Sales[[#This Row],[Delivery Days]]&lt;=$W$2, "Timely", "Delayed")</f>
        <v>Timely</v>
      </c>
      <c r="U1229" t="s">
        <v>2926</v>
      </c>
    </row>
    <row r="1230" spans="1:21" x14ac:dyDescent="0.25">
      <c r="A1230" s="4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 s="6">
        <v>4696.7040000000006</v>
      </c>
      <c r="K1230" t="s">
        <v>45</v>
      </c>
      <c r="L1230" t="s">
        <v>2941</v>
      </c>
      <c r="M1230">
        <v>0</v>
      </c>
      <c r="N1230" t="s">
        <v>1279</v>
      </c>
      <c r="O1230" t="s">
        <v>2698</v>
      </c>
      <c r="P1230">
        <v>44.3</v>
      </c>
      <c r="Q1230" s="1">
        <v>44980</v>
      </c>
      <c r="R1230" s="1">
        <v>44982</v>
      </c>
      <c r="S1230" s="14">
        <f>Sales[[#This Row],[DeliveryDate]]-Sales[[#This Row],[OrderDate]]</f>
        <v>2</v>
      </c>
      <c r="T1230" s="14" t="str">
        <f>IF(Sales[[#This Row],[Delivery Days]]&lt;=$W$2, "Timely", "Delayed")</f>
        <v>Timely</v>
      </c>
      <c r="U1230" t="s">
        <v>2925</v>
      </c>
    </row>
    <row r="1231" spans="1:21" x14ac:dyDescent="0.25">
      <c r="A1231" s="4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 s="6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1">
        <v>44937</v>
      </c>
      <c r="R1231" s="1">
        <v>44946</v>
      </c>
      <c r="S1231" s="14">
        <f>Sales[[#This Row],[DeliveryDate]]-Sales[[#This Row],[OrderDate]]</f>
        <v>9</v>
      </c>
      <c r="T1231" s="14" t="str">
        <f>IF(Sales[[#This Row],[Delivery Days]]&lt;=$W$2, "Timely", "Delayed")</f>
        <v>Delayed</v>
      </c>
      <c r="U1231" t="s">
        <v>2922</v>
      </c>
    </row>
    <row r="1232" spans="1:21" x14ac:dyDescent="0.25">
      <c r="A1232" s="4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 s="6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1">
        <v>45398</v>
      </c>
      <c r="R1232" s="1">
        <v>45402</v>
      </c>
      <c r="S1232" s="14">
        <f>Sales[[#This Row],[DeliveryDate]]-Sales[[#This Row],[OrderDate]]</f>
        <v>4</v>
      </c>
      <c r="T1232" s="14" t="str">
        <f>IF(Sales[[#This Row],[Delivery Days]]&lt;=$W$2, "Timely", "Delayed")</f>
        <v>Timely</v>
      </c>
      <c r="U1232" t="s">
        <v>2926</v>
      </c>
    </row>
    <row r="1233" spans="1:21" x14ac:dyDescent="0.25">
      <c r="A1233" s="4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 s="6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1">
        <v>45360</v>
      </c>
      <c r="R1233" s="1">
        <v>45363</v>
      </c>
      <c r="S1233" s="14">
        <f>Sales[[#This Row],[DeliveryDate]]-Sales[[#This Row],[OrderDate]]</f>
        <v>3</v>
      </c>
      <c r="T1233" s="14" t="str">
        <f>IF(Sales[[#This Row],[Delivery Days]]&lt;=$W$2, "Timely", "Delayed")</f>
        <v>Timely</v>
      </c>
      <c r="U1233" t="s">
        <v>2925</v>
      </c>
    </row>
    <row r="1234" spans="1:21" x14ac:dyDescent="0.25">
      <c r="A1234" s="4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 s="6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1">
        <v>45572</v>
      </c>
      <c r="R1234" s="1">
        <v>45576</v>
      </c>
      <c r="S1234" s="14">
        <f>Sales[[#This Row],[DeliveryDate]]-Sales[[#This Row],[OrderDate]]</f>
        <v>4</v>
      </c>
      <c r="T1234" s="14" t="str">
        <f>IF(Sales[[#This Row],[Delivery Days]]&lt;=$W$2, "Timely", "Delayed")</f>
        <v>Timely</v>
      </c>
      <c r="U1234" t="s">
        <v>2923</v>
      </c>
    </row>
    <row r="1235" spans="1:21" x14ac:dyDescent="0.25">
      <c r="A1235" s="4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 s="6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1">
        <v>45205</v>
      </c>
      <c r="R1235" s="1">
        <v>45214</v>
      </c>
      <c r="S1235" s="14">
        <f>Sales[[#This Row],[DeliveryDate]]-Sales[[#This Row],[OrderDate]]</f>
        <v>9</v>
      </c>
      <c r="T1235" s="14" t="str">
        <f>IF(Sales[[#This Row],[Delivery Days]]&lt;=$W$2, "Timely", "Delayed")</f>
        <v>Delayed</v>
      </c>
      <c r="U1235" t="s">
        <v>2926</v>
      </c>
    </row>
    <row r="1236" spans="1:21" x14ac:dyDescent="0.25">
      <c r="A1236" s="4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 s="6">
        <v>7212.9224999999997</v>
      </c>
      <c r="K1236" t="s">
        <v>43</v>
      </c>
      <c r="L1236" t="s">
        <v>2941</v>
      </c>
      <c r="M1236">
        <v>0</v>
      </c>
      <c r="N1236" t="s">
        <v>1285</v>
      </c>
      <c r="O1236" t="s">
        <v>2704</v>
      </c>
      <c r="P1236">
        <v>41.73</v>
      </c>
      <c r="Q1236" s="1">
        <v>45024</v>
      </c>
      <c r="R1236" s="1">
        <v>45029</v>
      </c>
      <c r="S1236" s="14">
        <f>Sales[[#This Row],[DeliveryDate]]-Sales[[#This Row],[OrderDate]]</f>
        <v>5</v>
      </c>
      <c r="T1236" s="14" t="str">
        <f>IF(Sales[[#This Row],[Delivery Days]]&lt;=$W$2, "Timely", "Delayed")</f>
        <v>Timely</v>
      </c>
      <c r="U1236" t="s">
        <v>2926</v>
      </c>
    </row>
    <row r="1237" spans="1:21" x14ac:dyDescent="0.25">
      <c r="A1237" s="4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 s="6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1">
        <v>45342</v>
      </c>
      <c r="R1237" s="1">
        <v>45349</v>
      </c>
      <c r="S1237" s="14">
        <f>Sales[[#This Row],[DeliveryDate]]-Sales[[#This Row],[OrderDate]]</f>
        <v>7</v>
      </c>
      <c r="T1237" s="14" t="str">
        <f>IF(Sales[[#This Row],[Delivery Days]]&lt;=$W$2, "Timely", "Delayed")</f>
        <v>Delayed</v>
      </c>
      <c r="U1237" t="s">
        <v>2923</v>
      </c>
    </row>
    <row r="1238" spans="1:21" x14ac:dyDescent="0.25">
      <c r="A1238" s="4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 s="6">
        <v>3497.3249999999998</v>
      </c>
      <c r="K1238" t="s">
        <v>45</v>
      </c>
      <c r="L1238" t="s">
        <v>2941</v>
      </c>
      <c r="M1238">
        <v>0</v>
      </c>
      <c r="N1238" t="s">
        <v>1287</v>
      </c>
      <c r="O1238" t="s">
        <v>2706</v>
      </c>
      <c r="P1238">
        <v>21.56</v>
      </c>
      <c r="Q1238" s="1">
        <v>44956</v>
      </c>
      <c r="R1238" s="1">
        <v>44965</v>
      </c>
      <c r="S1238" s="14">
        <f>Sales[[#This Row],[DeliveryDate]]-Sales[[#This Row],[OrderDate]]</f>
        <v>9</v>
      </c>
      <c r="T1238" s="14" t="str">
        <f>IF(Sales[[#This Row],[Delivery Days]]&lt;=$W$2, "Timely", "Delayed")</f>
        <v>Delayed</v>
      </c>
      <c r="U1238" t="s">
        <v>2926</v>
      </c>
    </row>
    <row r="1239" spans="1:21" x14ac:dyDescent="0.25">
      <c r="A1239" s="4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 s="6">
        <v>668.96</v>
      </c>
      <c r="K1239" t="s">
        <v>46</v>
      </c>
      <c r="L1239" t="s">
        <v>2941</v>
      </c>
      <c r="M1239">
        <v>0</v>
      </c>
      <c r="N1239" t="s">
        <v>1288</v>
      </c>
      <c r="O1239" t="s">
        <v>2707</v>
      </c>
      <c r="P1239">
        <v>31.53</v>
      </c>
      <c r="Q1239" s="1">
        <v>45058</v>
      </c>
      <c r="R1239" s="1">
        <v>45066</v>
      </c>
      <c r="S1239" s="14">
        <f>Sales[[#This Row],[DeliveryDate]]-Sales[[#This Row],[OrderDate]]</f>
        <v>8</v>
      </c>
      <c r="T1239" s="14" t="str">
        <f>IF(Sales[[#This Row],[Delivery Days]]&lt;=$W$2, "Timely", "Delayed")</f>
        <v>Delayed</v>
      </c>
      <c r="U1239" t="s">
        <v>2923</v>
      </c>
    </row>
    <row r="1240" spans="1:21" x14ac:dyDescent="0.25">
      <c r="A1240" s="4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 s="6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1">
        <v>45299</v>
      </c>
      <c r="R1240" s="1">
        <v>45303</v>
      </c>
      <c r="S1240" s="14">
        <f>Sales[[#This Row],[DeliveryDate]]-Sales[[#This Row],[OrderDate]]</f>
        <v>4</v>
      </c>
      <c r="T1240" s="14" t="str">
        <f>IF(Sales[[#This Row],[Delivery Days]]&lt;=$W$2, "Timely", "Delayed")</f>
        <v>Timely</v>
      </c>
      <c r="U1240" t="s">
        <v>2923</v>
      </c>
    </row>
    <row r="1241" spans="1:21" x14ac:dyDescent="0.25">
      <c r="A1241" s="4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 s="6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1">
        <v>45448</v>
      </c>
      <c r="R1241" s="1">
        <v>45451</v>
      </c>
      <c r="S1241" s="14">
        <f>Sales[[#This Row],[DeliveryDate]]-Sales[[#This Row],[OrderDate]]</f>
        <v>3</v>
      </c>
      <c r="T1241" s="14" t="str">
        <f>IF(Sales[[#This Row],[Delivery Days]]&lt;=$W$2, "Timely", "Delayed")</f>
        <v>Timely</v>
      </c>
      <c r="U1241" t="s">
        <v>2924</v>
      </c>
    </row>
    <row r="1242" spans="1:21" x14ac:dyDescent="0.25">
      <c r="A1242" s="4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 s="6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1">
        <v>45798</v>
      </c>
      <c r="R1242" s="1">
        <v>45800</v>
      </c>
      <c r="S1242" s="14">
        <f>Sales[[#This Row],[DeliveryDate]]-Sales[[#This Row],[OrderDate]]</f>
        <v>2</v>
      </c>
      <c r="T1242" s="14" t="str">
        <f>IF(Sales[[#This Row],[Delivery Days]]&lt;=$W$2, "Timely", "Delayed")</f>
        <v>Timely</v>
      </c>
      <c r="U1242" t="s">
        <v>2922</v>
      </c>
    </row>
    <row r="1243" spans="1:21" x14ac:dyDescent="0.25">
      <c r="A1243" s="4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 s="6">
        <v>105.42</v>
      </c>
      <c r="K1243" t="s">
        <v>47</v>
      </c>
      <c r="L1243" t="s">
        <v>2941</v>
      </c>
      <c r="M1243">
        <v>1</v>
      </c>
      <c r="N1243" t="s">
        <v>1292</v>
      </c>
      <c r="O1243" t="s">
        <v>2710</v>
      </c>
      <c r="P1243">
        <v>46.57</v>
      </c>
      <c r="Q1243" s="1">
        <v>45798</v>
      </c>
      <c r="R1243" s="1">
        <v>45803</v>
      </c>
      <c r="S1243" s="14">
        <f>Sales[[#This Row],[DeliveryDate]]-Sales[[#This Row],[OrderDate]]</f>
        <v>5</v>
      </c>
      <c r="T1243" s="14" t="str">
        <f>IF(Sales[[#This Row],[Delivery Days]]&lt;=$W$2, "Timely", "Delayed")</f>
        <v>Timely</v>
      </c>
      <c r="U1243" t="s">
        <v>2922</v>
      </c>
    </row>
    <row r="1244" spans="1:21" x14ac:dyDescent="0.25">
      <c r="A1244" s="4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 s="6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1">
        <v>44990</v>
      </c>
      <c r="R1244" s="1">
        <v>44996</v>
      </c>
      <c r="S1244" s="14">
        <f>Sales[[#This Row],[DeliveryDate]]-Sales[[#This Row],[OrderDate]]</f>
        <v>6</v>
      </c>
      <c r="T1244" s="14" t="str">
        <f>IF(Sales[[#This Row],[Delivery Days]]&lt;=$W$2, "Timely", "Delayed")</f>
        <v>Timely</v>
      </c>
      <c r="U1244" t="s">
        <v>2922</v>
      </c>
    </row>
    <row r="1245" spans="1:21" x14ac:dyDescent="0.25">
      <c r="A1245" s="4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 s="6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1">
        <v>45592</v>
      </c>
      <c r="R1245" s="1">
        <v>45598</v>
      </c>
      <c r="S1245" s="14">
        <f>Sales[[#This Row],[DeliveryDate]]-Sales[[#This Row],[OrderDate]]</f>
        <v>6</v>
      </c>
      <c r="T1245" s="14" t="str">
        <f>IF(Sales[[#This Row],[Delivery Days]]&lt;=$W$2, "Timely", "Delayed")</f>
        <v>Timely</v>
      </c>
      <c r="U1245" t="s">
        <v>2923</v>
      </c>
    </row>
    <row r="1246" spans="1:21" x14ac:dyDescent="0.25">
      <c r="A1246" s="4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 s="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1">
        <v>45740</v>
      </c>
      <c r="R1246" s="1">
        <v>45745</v>
      </c>
      <c r="S1246" s="14">
        <f>Sales[[#This Row],[DeliveryDate]]-Sales[[#This Row],[OrderDate]]</f>
        <v>5</v>
      </c>
      <c r="T1246" s="14" t="str">
        <f>IF(Sales[[#This Row],[Delivery Days]]&lt;=$W$2, "Timely", "Delayed")</f>
        <v>Timely</v>
      </c>
      <c r="U1246" t="s">
        <v>2924</v>
      </c>
    </row>
    <row r="1247" spans="1:21" x14ac:dyDescent="0.25">
      <c r="A1247" s="4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 s="6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1">
        <v>45556</v>
      </c>
      <c r="R1247" s="1">
        <v>45562</v>
      </c>
      <c r="S1247" s="14">
        <f>Sales[[#This Row],[DeliveryDate]]-Sales[[#This Row],[OrderDate]]</f>
        <v>6</v>
      </c>
      <c r="T1247" s="14" t="str">
        <f>IF(Sales[[#This Row],[Delivery Days]]&lt;=$W$2, "Timely", "Delayed")</f>
        <v>Timely</v>
      </c>
      <c r="U1247" t="s">
        <v>2926</v>
      </c>
    </row>
    <row r="1248" spans="1:21" x14ac:dyDescent="0.25">
      <c r="A1248" s="4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 s="6">
        <v>3840.5839999999998</v>
      </c>
      <c r="K1248" t="s">
        <v>46</v>
      </c>
      <c r="L1248" t="s">
        <v>2941</v>
      </c>
      <c r="M1248">
        <v>0</v>
      </c>
      <c r="N1248" t="s">
        <v>1297</v>
      </c>
      <c r="O1248" t="s">
        <v>2714</v>
      </c>
      <c r="P1248">
        <v>22.88</v>
      </c>
      <c r="Q1248" s="1">
        <v>45795</v>
      </c>
      <c r="R1248" s="1">
        <v>45804</v>
      </c>
      <c r="S1248" s="14">
        <f>Sales[[#This Row],[DeliveryDate]]-Sales[[#This Row],[OrderDate]]</f>
        <v>9</v>
      </c>
      <c r="T1248" s="14" t="str">
        <f>IF(Sales[[#This Row],[Delivery Days]]&lt;=$W$2, "Timely", "Delayed")</f>
        <v>Delayed</v>
      </c>
      <c r="U1248" t="s">
        <v>2924</v>
      </c>
    </row>
    <row r="1249" spans="1:21" x14ac:dyDescent="0.25">
      <c r="A1249" s="4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 s="6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1">
        <v>45484</v>
      </c>
      <c r="R1249" s="1">
        <v>45487</v>
      </c>
      <c r="S1249" s="14">
        <f>Sales[[#This Row],[DeliveryDate]]-Sales[[#This Row],[OrderDate]]</f>
        <v>3</v>
      </c>
      <c r="T1249" s="14" t="str">
        <f>IF(Sales[[#This Row],[Delivery Days]]&lt;=$W$2, "Timely", "Delayed")</f>
        <v>Timely</v>
      </c>
      <c r="U1249" t="s">
        <v>2922</v>
      </c>
    </row>
    <row r="1250" spans="1:21" x14ac:dyDescent="0.25">
      <c r="A1250" s="4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 s="6">
        <v>2680.672</v>
      </c>
      <c r="K1250" t="s">
        <v>47</v>
      </c>
      <c r="L1250" t="s">
        <v>2941</v>
      </c>
      <c r="M1250">
        <v>0</v>
      </c>
      <c r="N1250" t="s">
        <v>1299</v>
      </c>
      <c r="O1250" t="s">
        <v>2716</v>
      </c>
      <c r="P1250">
        <v>30.8</v>
      </c>
      <c r="Q1250" s="1">
        <v>45684</v>
      </c>
      <c r="R1250" s="1">
        <v>45692</v>
      </c>
      <c r="S1250" s="14">
        <f>Sales[[#This Row],[DeliveryDate]]-Sales[[#This Row],[OrderDate]]</f>
        <v>8</v>
      </c>
      <c r="T1250" s="14" t="str">
        <f>IF(Sales[[#This Row],[Delivery Days]]&lt;=$W$2, "Timely", "Delayed")</f>
        <v>Delayed</v>
      </c>
      <c r="U1250" t="s">
        <v>2924</v>
      </c>
    </row>
    <row r="1251" spans="1:21" x14ac:dyDescent="0.25">
      <c r="A1251" s="4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 s="6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1">
        <v>45256</v>
      </c>
      <c r="R1251" s="1">
        <v>45266</v>
      </c>
      <c r="S1251" s="14">
        <f>Sales[[#This Row],[DeliveryDate]]-Sales[[#This Row],[OrderDate]]</f>
        <v>10</v>
      </c>
      <c r="T1251" s="14" t="str">
        <f>IF(Sales[[#This Row],[Delivery Days]]&lt;=$W$2, "Timely", "Delayed")</f>
        <v>Delayed</v>
      </c>
      <c r="U1251" t="s">
        <v>2922</v>
      </c>
    </row>
    <row r="1252" spans="1:21" x14ac:dyDescent="0.25">
      <c r="A1252" s="4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 s="6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1">
        <v>45445</v>
      </c>
      <c r="R1252" s="1">
        <v>45447</v>
      </c>
      <c r="S1252" s="14">
        <f>Sales[[#This Row],[DeliveryDate]]-Sales[[#This Row],[OrderDate]]</f>
        <v>2</v>
      </c>
      <c r="T1252" s="14" t="str">
        <f>IF(Sales[[#This Row],[Delivery Days]]&lt;=$W$2, "Timely", "Delayed")</f>
        <v>Timely</v>
      </c>
      <c r="U1252" t="s">
        <v>2925</v>
      </c>
    </row>
    <row r="1253" spans="1:21" x14ac:dyDescent="0.25">
      <c r="A1253" s="4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 s="6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1">
        <v>44943</v>
      </c>
      <c r="R1253" s="1">
        <v>44950</v>
      </c>
      <c r="S1253" s="14">
        <f>Sales[[#This Row],[DeliveryDate]]-Sales[[#This Row],[OrderDate]]</f>
        <v>7</v>
      </c>
      <c r="T1253" s="14" t="str">
        <f>IF(Sales[[#This Row],[Delivery Days]]&lt;=$W$2, "Timely", "Delayed")</f>
        <v>Delayed</v>
      </c>
      <c r="U1253" t="s">
        <v>2924</v>
      </c>
    </row>
    <row r="1254" spans="1:21" x14ac:dyDescent="0.25">
      <c r="A1254" s="4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 s="6">
        <v>5195.3980000000001</v>
      </c>
      <c r="K1254" t="s">
        <v>43</v>
      </c>
      <c r="L1254" t="s">
        <v>2941</v>
      </c>
      <c r="M1254">
        <v>0</v>
      </c>
      <c r="N1254" t="s">
        <v>1303</v>
      </c>
      <c r="O1254" t="s">
        <v>2719</v>
      </c>
      <c r="P1254">
        <v>24.51</v>
      </c>
      <c r="Q1254" s="1">
        <v>45780</v>
      </c>
      <c r="R1254" s="1">
        <v>45788</v>
      </c>
      <c r="S1254" s="14">
        <f>Sales[[#This Row],[DeliveryDate]]-Sales[[#This Row],[OrderDate]]</f>
        <v>8</v>
      </c>
      <c r="T1254" s="14" t="str">
        <f>IF(Sales[[#This Row],[Delivery Days]]&lt;=$W$2, "Timely", "Delayed")</f>
        <v>Delayed</v>
      </c>
      <c r="U1254" t="s">
        <v>2924</v>
      </c>
    </row>
    <row r="1255" spans="1:21" x14ac:dyDescent="0.25">
      <c r="A1255" s="4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 s="6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1">
        <v>45662</v>
      </c>
      <c r="R1255" s="1">
        <v>45670</v>
      </c>
      <c r="S1255" s="14">
        <f>Sales[[#This Row],[DeliveryDate]]-Sales[[#This Row],[OrderDate]]</f>
        <v>8</v>
      </c>
      <c r="T1255" s="14" t="str">
        <f>IF(Sales[[#This Row],[Delivery Days]]&lt;=$W$2, "Timely", "Delayed")</f>
        <v>Delayed</v>
      </c>
      <c r="U1255" t="s">
        <v>2924</v>
      </c>
    </row>
    <row r="1256" spans="1:21" x14ac:dyDescent="0.25">
      <c r="A1256" s="4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 s="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1">
        <v>45342</v>
      </c>
      <c r="R1256" s="1">
        <v>45352</v>
      </c>
      <c r="S1256" s="14">
        <f>Sales[[#This Row],[DeliveryDate]]-Sales[[#This Row],[OrderDate]]</f>
        <v>10</v>
      </c>
      <c r="T1256" s="14" t="str">
        <f>IF(Sales[[#This Row],[Delivery Days]]&lt;=$W$2, "Timely", "Delayed")</f>
        <v>Delayed</v>
      </c>
      <c r="U1256" t="s">
        <v>2922</v>
      </c>
    </row>
    <row r="1257" spans="1:21" x14ac:dyDescent="0.25">
      <c r="A1257" s="4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 s="6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1">
        <v>45286</v>
      </c>
      <c r="R1257" s="1">
        <v>45295</v>
      </c>
      <c r="S1257" s="14">
        <f>Sales[[#This Row],[DeliveryDate]]-Sales[[#This Row],[OrderDate]]</f>
        <v>9</v>
      </c>
      <c r="T1257" s="14" t="str">
        <f>IF(Sales[[#This Row],[Delivery Days]]&lt;=$W$2, "Timely", "Delayed")</f>
        <v>Delayed</v>
      </c>
      <c r="U1257" t="s">
        <v>2924</v>
      </c>
    </row>
    <row r="1258" spans="1:21" x14ac:dyDescent="0.25">
      <c r="A1258" s="4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 s="6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1">
        <v>44992</v>
      </c>
      <c r="R1258" s="1">
        <v>44997</v>
      </c>
      <c r="S1258" s="14">
        <f>Sales[[#This Row],[DeliveryDate]]-Sales[[#This Row],[OrderDate]]</f>
        <v>5</v>
      </c>
      <c r="T1258" s="14" t="str">
        <f>IF(Sales[[#This Row],[Delivery Days]]&lt;=$W$2, "Timely", "Delayed")</f>
        <v>Timely</v>
      </c>
      <c r="U1258" t="s">
        <v>2924</v>
      </c>
    </row>
    <row r="1259" spans="1:21" x14ac:dyDescent="0.25">
      <c r="A1259" s="4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 s="6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1">
        <v>45548</v>
      </c>
      <c r="R1259" s="1">
        <v>45557</v>
      </c>
      <c r="S1259" s="14">
        <f>Sales[[#This Row],[DeliveryDate]]-Sales[[#This Row],[OrderDate]]</f>
        <v>9</v>
      </c>
      <c r="T1259" s="14" t="str">
        <f>IF(Sales[[#This Row],[Delivery Days]]&lt;=$W$2, "Timely", "Delayed")</f>
        <v>Delayed</v>
      </c>
      <c r="U1259" t="s">
        <v>2924</v>
      </c>
    </row>
    <row r="1260" spans="1:21" x14ac:dyDescent="0.25">
      <c r="A1260" s="4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 s="6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1">
        <v>45293</v>
      </c>
      <c r="R1260" s="1">
        <v>45303</v>
      </c>
      <c r="S1260" s="14">
        <f>Sales[[#This Row],[DeliveryDate]]-Sales[[#This Row],[OrderDate]]</f>
        <v>10</v>
      </c>
      <c r="T1260" s="14" t="str">
        <f>IF(Sales[[#This Row],[Delivery Days]]&lt;=$W$2, "Timely", "Delayed")</f>
        <v>Delayed</v>
      </c>
      <c r="U1260" t="s">
        <v>2922</v>
      </c>
    </row>
    <row r="1261" spans="1:21" x14ac:dyDescent="0.25">
      <c r="A1261" s="4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 s="6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1">
        <v>45696</v>
      </c>
      <c r="R1261" s="1">
        <v>45706</v>
      </c>
      <c r="S1261" s="14">
        <f>Sales[[#This Row],[DeliveryDate]]-Sales[[#This Row],[OrderDate]]</f>
        <v>10</v>
      </c>
      <c r="T1261" s="14" t="str">
        <f>IF(Sales[[#This Row],[Delivery Days]]&lt;=$W$2, "Timely", "Delayed")</f>
        <v>Delayed</v>
      </c>
      <c r="U1261" t="s">
        <v>2923</v>
      </c>
    </row>
    <row r="1262" spans="1:21" x14ac:dyDescent="0.25">
      <c r="A1262" s="4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 s="6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1">
        <v>45720</v>
      </c>
      <c r="R1262" s="1">
        <v>45728</v>
      </c>
      <c r="S1262" s="14">
        <f>Sales[[#This Row],[DeliveryDate]]-Sales[[#This Row],[OrderDate]]</f>
        <v>8</v>
      </c>
      <c r="T1262" s="14" t="str">
        <f>IF(Sales[[#This Row],[Delivery Days]]&lt;=$W$2, "Timely", "Delayed")</f>
        <v>Delayed</v>
      </c>
      <c r="U1262" t="s">
        <v>2923</v>
      </c>
    </row>
    <row r="1263" spans="1:21" x14ac:dyDescent="0.25">
      <c r="A1263" s="4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 s="6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1">
        <v>45363</v>
      </c>
      <c r="R1263" s="1">
        <v>45372</v>
      </c>
      <c r="S1263" s="14">
        <f>Sales[[#This Row],[DeliveryDate]]-Sales[[#This Row],[OrderDate]]</f>
        <v>9</v>
      </c>
      <c r="T1263" s="14" t="str">
        <f>IF(Sales[[#This Row],[Delivery Days]]&lt;=$W$2, "Timely", "Delayed")</f>
        <v>Delayed</v>
      </c>
      <c r="U1263" t="s">
        <v>2925</v>
      </c>
    </row>
    <row r="1264" spans="1:21" x14ac:dyDescent="0.25">
      <c r="A1264" s="4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 s="6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1">
        <v>45476</v>
      </c>
      <c r="R1264" s="1">
        <v>45480</v>
      </c>
      <c r="S1264" s="14">
        <f>Sales[[#This Row],[DeliveryDate]]-Sales[[#This Row],[OrderDate]]</f>
        <v>4</v>
      </c>
      <c r="T1264" s="14" t="str">
        <f>IF(Sales[[#This Row],[Delivery Days]]&lt;=$W$2, "Timely", "Delayed")</f>
        <v>Timely</v>
      </c>
      <c r="U1264" t="s">
        <v>2922</v>
      </c>
    </row>
    <row r="1265" spans="1:21" x14ac:dyDescent="0.25">
      <c r="A1265" s="4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 s="6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1">
        <v>45662</v>
      </c>
      <c r="R1265" s="1">
        <v>45670</v>
      </c>
      <c r="S1265" s="14">
        <f>Sales[[#This Row],[DeliveryDate]]-Sales[[#This Row],[OrderDate]]</f>
        <v>8</v>
      </c>
      <c r="T1265" s="14" t="str">
        <f>IF(Sales[[#This Row],[Delivery Days]]&lt;=$W$2, "Timely", "Delayed")</f>
        <v>Delayed</v>
      </c>
      <c r="U1265" t="s">
        <v>2924</v>
      </c>
    </row>
    <row r="1266" spans="1:21" x14ac:dyDescent="0.25">
      <c r="A1266" s="4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 s="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1">
        <v>45372</v>
      </c>
      <c r="R1266" s="1">
        <v>45379</v>
      </c>
      <c r="S1266" s="14">
        <f>Sales[[#This Row],[DeliveryDate]]-Sales[[#This Row],[OrderDate]]</f>
        <v>7</v>
      </c>
      <c r="T1266" s="14" t="str">
        <f>IF(Sales[[#This Row],[Delivery Days]]&lt;=$W$2, "Timely", "Delayed")</f>
        <v>Delayed</v>
      </c>
      <c r="U1266" t="s">
        <v>2922</v>
      </c>
    </row>
    <row r="1267" spans="1:21" x14ac:dyDescent="0.25">
      <c r="A1267" s="4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 s="6">
        <v>7678.9349999999986</v>
      </c>
      <c r="K1267" t="s">
        <v>44</v>
      </c>
      <c r="L1267" t="s">
        <v>2941</v>
      </c>
      <c r="M1267">
        <v>0</v>
      </c>
      <c r="N1267" t="s">
        <v>1316</v>
      </c>
      <c r="O1267" t="s">
        <v>2730</v>
      </c>
      <c r="P1267">
        <v>8.5399999999999991</v>
      </c>
      <c r="Q1267" s="1">
        <v>45744</v>
      </c>
      <c r="R1267" s="1">
        <v>45750</v>
      </c>
      <c r="S1267" s="14">
        <f>Sales[[#This Row],[DeliveryDate]]-Sales[[#This Row],[OrderDate]]</f>
        <v>6</v>
      </c>
      <c r="T1267" s="14" t="str">
        <f>IF(Sales[[#This Row],[Delivery Days]]&lt;=$W$2, "Timely", "Delayed")</f>
        <v>Timely</v>
      </c>
      <c r="U1267" t="s">
        <v>2925</v>
      </c>
    </row>
    <row r="1268" spans="1:21" x14ac:dyDescent="0.25">
      <c r="A1268" s="4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 s="6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1">
        <v>45760</v>
      </c>
      <c r="R1268" s="1">
        <v>45765</v>
      </c>
      <c r="S1268" s="14">
        <f>Sales[[#This Row],[DeliveryDate]]-Sales[[#This Row],[OrderDate]]</f>
        <v>5</v>
      </c>
      <c r="T1268" s="14" t="str">
        <f>IF(Sales[[#This Row],[Delivery Days]]&lt;=$W$2, "Timely", "Delayed")</f>
        <v>Timely</v>
      </c>
      <c r="U1268" t="s">
        <v>2925</v>
      </c>
    </row>
    <row r="1269" spans="1:21" x14ac:dyDescent="0.25">
      <c r="A1269" s="4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 s="6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1">
        <v>45412</v>
      </c>
      <c r="R1269" s="1">
        <v>45421</v>
      </c>
      <c r="S1269" s="14">
        <f>Sales[[#This Row],[DeliveryDate]]-Sales[[#This Row],[OrderDate]]</f>
        <v>9</v>
      </c>
      <c r="T1269" s="14" t="str">
        <f>IF(Sales[[#This Row],[Delivery Days]]&lt;=$W$2, "Timely", "Delayed")</f>
        <v>Delayed</v>
      </c>
      <c r="U1269" t="s">
        <v>2926</v>
      </c>
    </row>
    <row r="1270" spans="1:21" x14ac:dyDescent="0.25">
      <c r="A1270" s="4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 s="6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1">
        <v>45703</v>
      </c>
      <c r="R1270" s="1">
        <v>45707</v>
      </c>
      <c r="S1270" s="14">
        <f>Sales[[#This Row],[DeliveryDate]]-Sales[[#This Row],[OrderDate]]</f>
        <v>4</v>
      </c>
      <c r="T1270" s="14" t="str">
        <f>IF(Sales[[#This Row],[Delivery Days]]&lt;=$W$2, "Timely", "Delayed")</f>
        <v>Timely</v>
      </c>
      <c r="U1270" t="s">
        <v>2923</v>
      </c>
    </row>
    <row r="1271" spans="1:21" x14ac:dyDescent="0.25">
      <c r="A1271" s="4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 s="6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1">
        <v>45706</v>
      </c>
      <c r="R1271" s="1">
        <v>45711</v>
      </c>
      <c r="S1271" s="14">
        <f>Sales[[#This Row],[DeliveryDate]]-Sales[[#This Row],[OrderDate]]</f>
        <v>5</v>
      </c>
      <c r="T1271" s="14" t="str">
        <f>IF(Sales[[#This Row],[Delivery Days]]&lt;=$W$2, "Timely", "Delayed")</f>
        <v>Timely</v>
      </c>
      <c r="U1271" t="s">
        <v>2926</v>
      </c>
    </row>
    <row r="1272" spans="1:21" x14ac:dyDescent="0.25">
      <c r="A1272" s="4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 s="6">
        <v>3944.49</v>
      </c>
      <c r="K1272" t="s">
        <v>45</v>
      </c>
      <c r="L1272" t="s">
        <v>2941</v>
      </c>
      <c r="M1272">
        <v>0</v>
      </c>
      <c r="N1272" t="s">
        <v>1321</v>
      </c>
      <c r="O1272" t="s">
        <v>2735</v>
      </c>
      <c r="P1272">
        <v>29.19</v>
      </c>
      <c r="Q1272" s="1">
        <v>45177</v>
      </c>
      <c r="R1272" s="1">
        <v>45179</v>
      </c>
      <c r="S1272" s="14">
        <f>Sales[[#This Row],[DeliveryDate]]-Sales[[#This Row],[OrderDate]]</f>
        <v>2</v>
      </c>
      <c r="T1272" s="14" t="str">
        <f>IF(Sales[[#This Row],[Delivery Days]]&lt;=$W$2, "Timely", "Delayed")</f>
        <v>Timely</v>
      </c>
      <c r="U1272" t="s">
        <v>2926</v>
      </c>
    </row>
    <row r="1273" spans="1:21" x14ac:dyDescent="0.25">
      <c r="A1273" s="4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 s="6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1">
        <v>45326</v>
      </c>
      <c r="R1273" s="1">
        <v>45328</v>
      </c>
      <c r="S1273" s="14">
        <f>Sales[[#This Row],[DeliveryDate]]-Sales[[#This Row],[OrderDate]]</f>
        <v>2</v>
      </c>
      <c r="T1273" s="14" t="str">
        <f>IF(Sales[[#This Row],[Delivery Days]]&lt;=$W$2, "Timely", "Delayed")</f>
        <v>Timely</v>
      </c>
      <c r="U1273" t="s">
        <v>2925</v>
      </c>
    </row>
    <row r="1274" spans="1:21" x14ac:dyDescent="0.25">
      <c r="A1274" s="4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 s="6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1">
        <v>45621</v>
      </c>
      <c r="R1274" s="1">
        <v>45631</v>
      </c>
      <c r="S1274" s="14">
        <f>Sales[[#This Row],[DeliveryDate]]-Sales[[#This Row],[OrderDate]]</f>
        <v>10</v>
      </c>
      <c r="T1274" s="14" t="str">
        <f>IF(Sales[[#This Row],[Delivery Days]]&lt;=$W$2, "Timely", "Delayed")</f>
        <v>Delayed</v>
      </c>
      <c r="U1274" t="s">
        <v>2924</v>
      </c>
    </row>
    <row r="1275" spans="1:21" x14ac:dyDescent="0.25">
      <c r="A1275" s="4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 s="6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1">
        <v>45656</v>
      </c>
      <c r="R1275" s="1">
        <v>45659</v>
      </c>
      <c r="S1275" s="14">
        <f>Sales[[#This Row],[DeliveryDate]]-Sales[[#This Row],[OrderDate]]</f>
        <v>3</v>
      </c>
      <c r="T1275" s="14" t="str">
        <f>IF(Sales[[#This Row],[Delivery Days]]&lt;=$W$2, "Timely", "Delayed")</f>
        <v>Timely</v>
      </c>
      <c r="U1275" t="s">
        <v>2924</v>
      </c>
    </row>
    <row r="1276" spans="1:21" x14ac:dyDescent="0.25">
      <c r="A1276" s="4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 s="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1">
        <v>45174</v>
      </c>
      <c r="R1276" s="1">
        <v>45179</v>
      </c>
      <c r="S1276" s="14">
        <f>Sales[[#This Row],[DeliveryDate]]-Sales[[#This Row],[OrderDate]]</f>
        <v>5</v>
      </c>
      <c r="T1276" s="14" t="str">
        <f>IF(Sales[[#This Row],[Delivery Days]]&lt;=$W$2, "Timely", "Delayed")</f>
        <v>Timely</v>
      </c>
      <c r="U1276" t="s">
        <v>2926</v>
      </c>
    </row>
    <row r="1277" spans="1:21" x14ac:dyDescent="0.25">
      <c r="A1277" s="4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 s="6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1">
        <v>45139</v>
      </c>
      <c r="R1277" s="1">
        <v>45149</v>
      </c>
      <c r="S1277" s="14">
        <f>Sales[[#This Row],[DeliveryDate]]-Sales[[#This Row],[OrderDate]]</f>
        <v>10</v>
      </c>
      <c r="T1277" s="14" t="str">
        <f>IF(Sales[[#This Row],[Delivery Days]]&lt;=$W$2, "Timely", "Delayed")</f>
        <v>Delayed</v>
      </c>
      <c r="U1277" t="s">
        <v>2926</v>
      </c>
    </row>
    <row r="1278" spans="1:21" x14ac:dyDescent="0.25">
      <c r="A1278" s="4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 s="6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1">
        <v>44932</v>
      </c>
      <c r="R1278" s="1">
        <v>44934</v>
      </c>
      <c r="S1278" s="14">
        <f>Sales[[#This Row],[DeliveryDate]]-Sales[[#This Row],[OrderDate]]</f>
        <v>2</v>
      </c>
      <c r="T1278" s="14" t="str">
        <f>IF(Sales[[#This Row],[Delivery Days]]&lt;=$W$2, "Timely", "Delayed")</f>
        <v>Timely</v>
      </c>
      <c r="U1278" t="s">
        <v>2925</v>
      </c>
    </row>
    <row r="1279" spans="1:21" x14ac:dyDescent="0.25">
      <c r="A1279" s="4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 s="6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1">
        <v>45779</v>
      </c>
      <c r="R1279" s="1">
        <v>45783</v>
      </c>
      <c r="S1279" s="14">
        <f>Sales[[#This Row],[DeliveryDate]]-Sales[[#This Row],[OrderDate]]</f>
        <v>4</v>
      </c>
      <c r="T1279" s="14" t="str">
        <f>IF(Sales[[#This Row],[Delivery Days]]&lt;=$W$2, "Timely", "Delayed")</f>
        <v>Timely</v>
      </c>
      <c r="U1279" t="s">
        <v>2925</v>
      </c>
    </row>
    <row r="1280" spans="1:21" x14ac:dyDescent="0.25">
      <c r="A1280" s="4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 s="6">
        <v>1709.1165000000001</v>
      </c>
      <c r="K1280" t="s">
        <v>45</v>
      </c>
      <c r="L1280" t="s">
        <v>2941</v>
      </c>
      <c r="M1280">
        <v>0</v>
      </c>
      <c r="N1280" t="s">
        <v>1329</v>
      </c>
      <c r="O1280" t="s">
        <v>2743</v>
      </c>
      <c r="P1280">
        <v>35.520000000000003</v>
      </c>
      <c r="Q1280" s="1">
        <v>45281</v>
      </c>
      <c r="R1280" s="1">
        <v>45288</v>
      </c>
      <c r="S1280" s="14">
        <f>Sales[[#This Row],[DeliveryDate]]-Sales[[#This Row],[OrderDate]]</f>
        <v>7</v>
      </c>
      <c r="T1280" s="14" t="str">
        <f>IF(Sales[[#This Row],[Delivery Days]]&lt;=$W$2, "Timely", "Delayed")</f>
        <v>Delayed</v>
      </c>
      <c r="U1280" t="s">
        <v>2926</v>
      </c>
    </row>
    <row r="1281" spans="1:21" x14ac:dyDescent="0.25">
      <c r="A1281" s="4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 s="6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1">
        <v>45545</v>
      </c>
      <c r="R1281" s="1">
        <v>45549</v>
      </c>
      <c r="S1281" s="14">
        <f>Sales[[#This Row],[DeliveryDate]]-Sales[[#This Row],[OrderDate]]</f>
        <v>4</v>
      </c>
      <c r="T1281" s="14" t="str">
        <f>IF(Sales[[#This Row],[Delivery Days]]&lt;=$W$2, "Timely", "Delayed")</f>
        <v>Timely</v>
      </c>
      <c r="U1281" t="s">
        <v>2922</v>
      </c>
    </row>
    <row r="1282" spans="1:21" x14ac:dyDescent="0.25">
      <c r="A1282" s="4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 s="6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1">
        <v>45387</v>
      </c>
      <c r="R1282" s="1">
        <v>45392</v>
      </c>
      <c r="S1282" s="14">
        <f>Sales[[#This Row],[DeliveryDate]]-Sales[[#This Row],[OrderDate]]</f>
        <v>5</v>
      </c>
      <c r="T1282" s="14" t="str">
        <f>IF(Sales[[#This Row],[Delivery Days]]&lt;=$W$2, "Timely", "Delayed")</f>
        <v>Timely</v>
      </c>
      <c r="U1282" t="s">
        <v>2925</v>
      </c>
    </row>
    <row r="1283" spans="1:21" x14ac:dyDescent="0.25">
      <c r="A1283" s="4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 s="6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1">
        <v>45133</v>
      </c>
      <c r="R1283" s="1">
        <v>45138</v>
      </c>
      <c r="S1283" s="14">
        <f>Sales[[#This Row],[DeliveryDate]]-Sales[[#This Row],[OrderDate]]</f>
        <v>5</v>
      </c>
      <c r="T1283" s="14" t="str">
        <f>IF(Sales[[#This Row],[Delivery Days]]&lt;=$W$2, "Timely", "Delayed")</f>
        <v>Timely</v>
      </c>
      <c r="U1283" t="s">
        <v>2922</v>
      </c>
    </row>
    <row r="1284" spans="1:21" x14ac:dyDescent="0.25">
      <c r="A1284" s="4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 s="6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1">
        <v>45242</v>
      </c>
      <c r="R1284" s="1">
        <v>45244</v>
      </c>
      <c r="S1284" s="14">
        <f>Sales[[#This Row],[DeliveryDate]]-Sales[[#This Row],[OrderDate]]</f>
        <v>2</v>
      </c>
      <c r="T1284" s="14" t="str">
        <f>IF(Sales[[#This Row],[Delivery Days]]&lt;=$W$2, "Timely", "Delayed")</f>
        <v>Timely</v>
      </c>
      <c r="U1284" t="s">
        <v>2922</v>
      </c>
    </row>
    <row r="1285" spans="1:21" x14ac:dyDescent="0.25">
      <c r="A1285" s="4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 s="6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1">
        <v>45765</v>
      </c>
      <c r="R1285" s="1">
        <v>45767</v>
      </c>
      <c r="S1285" s="14">
        <f>Sales[[#This Row],[DeliveryDate]]-Sales[[#This Row],[OrderDate]]</f>
        <v>2</v>
      </c>
      <c r="T1285" s="14" t="str">
        <f>IF(Sales[[#This Row],[Delivery Days]]&lt;=$W$2, "Timely", "Delayed")</f>
        <v>Timely</v>
      </c>
      <c r="U1285" t="s">
        <v>2925</v>
      </c>
    </row>
    <row r="1286" spans="1:21" x14ac:dyDescent="0.25">
      <c r="A1286" s="4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 s="6">
        <v>215.38399999999999</v>
      </c>
      <c r="K1286" t="s">
        <v>47</v>
      </c>
      <c r="L1286" t="s">
        <v>2941</v>
      </c>
      <c r="M1286">
        <v>1</v>
      </c>
      <c r="N1286" t="s">
        <v>1335</v>
      </c>
      <c r="O1286" t="s">
        <v>2748</v>
      </c>
      <c r="P1286">
        <v>23.19</v>
      </c>
      <c r="Q1286" s="1">
        <v>45150</v>
      </c>
      <c r="R1286" s="1">
        <v>45157</v>
      </c>
      <c r="S1286" s="14">
        <f>Sales[[#This Row],[DeliveryDate]]-Sales[[#This Row],[OrderDate]]</f>
        <v>7</v>
      </c>
      <c r="T1286" s="14" t="str">
        <f>IF(Sales[[#This Row],[Delivery Days]]&lt;=$W$2, "Timely", "Delayed")</f>
        <v>Delayed</v>
      </c>
      <c r="U1286" t="s">
        <v>2923</v>
      </c>
    </row>
    <row r="1287" spans="1:21" x14ac:dyDescent="0.25">
      <c r="A1287" s="4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 s="6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1">
        <v>45638</v>
      </c>
      <c r="R1287" s="1">
        <v>45647</v>
      </c>
      <c r="S1287" s="14">
        <f>Sales[[#This Row],[DeliveryDate]]-Sales[[#This Row],[OrderDate]]</f>
        <v>9</v>
      </c>
      <c r="T1287" s="14" t="str">
        <f>IF(Sales[[#This Row],[Delivery Days]]&lt;=$W$2, "Timely", "Delayed")</f>
        <v>Delayed</v>
      </c>
      <c r="U1287" t="s">
        <v>2926</v>
      </c>
    </row>
    <row r="1288" spans="1:21" x14ac:dyDescent="0.25">
      <c r="A1288" s="4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 s="6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1">
        <v>45784</v>
      </c>
      <c r="R1288" s="1">
        <v>45790</v>
      </c>
      <c r="S1288" s="14">
        <f>Sales[[#This Row],[DeliveryDate]]-Sales[[#This Row],[OrderDate]]</f>
        <v>6</v>
      </c>
      <c r="T1288" s="14" t="str">
        <f>IF(Sales[[#This Row],[Delivery Days]]&lt;=$W$2, "Timely", "Delayed")</f>
        <v>Timely</v>
      </c>
      <c r="U1288" t="s">
        <v>2926</v>
      </c>
    </row>
    <row r="1289" spans="1:21" x14ac:dyDescent="0.25">
      <c r="A1289" s="4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 s="6">
        <v>8069.76</v>
      </c>
      <c r="K1289" t="s">
        <v>46</v>
      </c>
      <c r="L1289" t="s">
        <v>2941</v>
      </c>
      <c r="M1289">
        <v>1</v>
      </c>
      <c r="N1289" t="s">
        <v>1338</v>
      </c>
      <c r="O1289" t="s">
        <v>1801</v>
      </c>
      <c r="P1289">
        <v>11.67</v>
      </c>
      <c r="Q1289" s="1">
        <v>45726</v>
      </c>
      <c r="R1289" s="1">
        <v>45729</v>
      </c>
      <c r="S1289" s="14">
        <f>Sales[[#This Row],[DeliveryDate]]-Sales[[#This Row],[OrderDate]]</f>
        <v>3</v>
      </c>
      <c r="T1289" s="14" t="str">
        <f>IF(Sales[[#This Row],[Delivery Days]]&lt;=$W$2, "Timely", "Delayed")</f>
        <v>Timely</v>
      </c>
      <c r="U1289" t="s">
        <v>2922</v>
      </c>
    </row>
    <row r="1290" spans="1:21" x14ac:dyDescent="0.25">
      <c r="A1290" s="4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 s="6">
        <v>855.4</v>
      </c>
      <c r="K1290" t="s">
        <v>45</v>
      </c>
      <c r="L1290" t="s">
        <v>2941</v>
      </c>
      <c r="M1290">
        <v>0</v>
      </c>
      <c r="N1290" t="s">
        <v>1339</v>
      </c>
      <c r="O1290" t="s">
        <v>2751</v>
      </c>
      <c r="P1290">
        <v>30.21</v>
      </c>
      <c r="Q1290" s="1">
        <v>45809</v>
      </c>
      <c r="R1290" s="1">
        <v>45818</v>
      </c>
      <c r="S1290" s="14">
        <f>Sales[[#This Row],[DeliveryDate]]-Sales[[#This Row],[OrderDate]]</f>
        <v>9</v>
      </c>
      <c r="T1290" s="14" t="str">
        <f>IF(Sales[[#This Row],[Delivery Days]]&lt;=$W$2, "Timely", "Delayed")</f>
        <v>Delayed</v>
      </c>
      <c r="U1290" t="s">
        <v>2922</v>
      </c>
    </row>
    <row r="1291" spans="1:21" x14ac:dyDescent="0.25">
      <c r="A1291" s="4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 s="6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1">
        <v>45796</v>
      </c>
      <c r="R1291" s="1">
        <v>45798</v>
      </c>
      <c r="S1291" s="14">
        <f>Sales[[#This Row],[DeliveryDate]]-Sales[[#This Row],[OrderDate]]</f>
        <v>2</v>
      </c>
      <c r="T1291" s="14" t="str">
        <f>IF(Sales[[#This Row],[Delivery Days]]&lt;=$W$2, "Timely", "Delayed")</f>
        <v>Timely</v>
      </c>
      <c r="U1291" t="s">
        <v>2926</v>
      </c>
    </row>
    <row r="1292" spans="1:21" x14ac:dyDescent="0.25">
      <c r="A1292" s="4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 s="6">
        <v>899</v>
      </c>
      <c r="K1292" t="s">
        <v>46</v>
      </c>
      <c r="L1292" t="s">
        <v>2941</v>
      </c>
      <c r="M1292">
        <v>0</v>
      </c>
      <c r="N1292" t="s">
        <v>1341</v>
      </c>
      <c r="O1292" t="s">
        <v>2753</v>
      </c>
      <c r="P1292">
        <v>43.86</v>
      </c>
      <c r="Q1292" s="1">
        <v>44965</v>
      </c>
      <c r="R1292" s="1">
        <v>44973</v>
      </c>
      <c r="S1292" s="14">
        <f>Sales[[#This Row],[DeliveryDate]]-Sales[[#This Row],[OrderDate]]</f>
        <v>8</v>
      </c>
      <c r="T1292" s="14" t="str">
        <f>IF(Sales[[#This Row],[Delivery Days]]&lt;=$W$2, "Timely", "Delayed")</f>
        <v>Delayed</v>
      </c>
      <c r="U1292" t="s">
        <v>2922</v>
      </c>
    </row>
    <row r="1293" spans="1:21" x14ac:dyDescent="0.25">
      <c r="A1293" s="4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 s="6">
        <v>7339.8239999999996</v>
      </c>
      <c r="K1293" t="s">
        <v>47</v>
      </c>
      <c r="L1293" t="s">
        <v>2941</v>
      </c>
      <c r="M1293">
        <v>0</v>
      </c>
      <c r="N1293" t="s">
        <v>1342</v>
      </c>
      <c r="O1293" t="s">
        <v>2754</v>
      </c>
      <c r="P1293">
        <v>41.78</v>
      </c>
      <c r="Q1293" s="1">
        <v>45771</v>
      </c>
      <c r="R1293" s="1">
        <v>45780</v>
      </c>
      <c r="S1293" s="14">
        <f>Sales[[#This Row],[DeliveryDate]]-Sales[[#This Row],[OrderDate]]</f>
        <v>9</v>
      </c>
      <c r="T1293" s="14" t="str">
        <f>IF(Sales[[#This Row],[Delivery Days]]&lt;=$W$2, "Timely", "Delayed")</f>
        <v>Delayed</v>
      </c>
      <c r="U1293" t="s">
        <v>2925</v>
      </c>
    </row>
    <row r="1294" spans="1:21" x14ac:dyDescent="0.25">
      <c r="A1294" s="4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 s="6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1">
        <v>45536</v>
      </c>
      <c r="R1294" s="1">
        <v>45543</v>
      </c>
      <c r="S1294" s="14">
        <f>Sales[[#This Row],[DeliveryDate]]-Sales[[#This Row],[OrderDate]]</f>
        <v>7</v>
      </c>
      <c r="T1294" s="14" t="str">
        <f>IF(Sales[[#This Row],[Delivery Days]]&lt;=$W$2, "Timely", "Delayed")</f>
        <v>Delayed</v>
      </c>
      <c r="U1294" t="s">
        <v>2924</v>
      </c>
    </row>
    <row r="1295" spans="1:21" x14ac:dyDescent="0.25">
      <c r="A1295" s="4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 s="6">
        <v>4509.1085000000003</v>
      </c>
      <c r="K1295" t="s">
        <v>43</v>
      </c>
      <c r="L1295" t="s">
        <v>2941</v>
      </c>
      <c r="M1295">
        <v>0</v>
      </c>
      <c r="N1295" t="s">
        <v>1344</v>
      </c>
      <c r="O1295" t="s">
        <v>2756</v>
      </c>
      <c r="P1295">
        <v>13.97</v>
      </c>
      <c r="Q1295" s="1">
        <v>45603</v>
      </c>
      <c r="R1295" s="1">
        <v>45609</v>
      </c>
      <c r="S1295" s="14">
        <f>Sales[[#This Row],[DeliveryDate]]-Sales[[#This Row],[OrderDate]]</f>
        <v>6</v>
      </c>
      <c r="T1295" s="14" t="str">
        <f>IF(Sales[[#This Row],[Delivery Days]]&lt;=$W$2, "Timely", "Delayed")</f>
        <v>Timely</v>
      </c>
      <c r="U1295" t="s">
        <v>2925</v>
      </c>
    </row>
    <row r="1296" spans="1:21" x14ac:dyDescent="0.25">
      <c r="A1296" s="4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 s="6">
        <v>139.13</v>
      </c>
      <c r="K1296" t="s">
        <v>47</v>
      </c>
      <c r="L1296" t="s">
        <v>2941</v>
      </c>
      <c r="M1296">
        <v>1</v>
      </c>
      <c r="N1296" t="s">
        <v>1345</v>
      </c>
      <c r="O1296" t="s">
        <v>2757</v>
      </c>
      <c r="P1296">
        <v>35.92</v>
      </c>
      <c r="Q1296" s="1">
        <v>45625</v>
      </c>
      <c r="R1296" s="1">
        <v>45628</v>
      </c>
      <c r="S1296" s="14">
        <f>Sales[[#This Row],[DeliveryDate]]-Sales[[#This Row],[OrderDate]]</f>
        <v>3</v>
      </c>
      <c r="T1296" s="14" t="str">
        <f>IF(Sales[[#This Row],[Delivery Days]]&lt;=$W$2, "Timely", "Delayed")</f>
        <v>Timely</v>
      </c>
      <c r="U1296" t="s">
        <v>2922</v>
      </c>
    </row>
    <row r="1297" spans="1:21" x14ac:dyDescent="0.25">
      <c r="A1297" s="4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 s="6">
        <v>3263.34</v>
      </c>
      <c r="K1297" t="s">
        <v>47</v>
      </c>
      <c r="L1297" t="s">
        <v>2941</v>
      </c>
      <c r="M1297">
        <v>1</v>
      </c>
      <c r="N1297" t="s">
        <v>1346</v>
      </c>
      <c r="O1297" t="s">
        <v>2758</v>
      </c>
      <c r="P1297">
        <v>13.19</v>
      </c>
      <c r="Q1297" s="1">
        <v>45026</v>
      </c>
      <c r="R1297" s="1">
        <v>45036</v>
      </c>
      <c r="S1297" s="14">
        <f>Sales[[#This Row],[DeliveryDate]]-Sales[[#This Row],[OrderDate]]</f>
        <v>10</v>
      </c>
      <c r="T1297" s="14" t="str">
        <f>IF(Sales[[#This Row],[Delivery Days]]&lt;=$W$2, "Timely", "Delayed")</f>
        <v>Delayed</v>
      </c>
      <c r="U1297" t="s">
        <v>2926</v>
      </c>
    </row>
    <row r="1298" spans="1:21" x14ac:dyDescent="0.25">
      <c r="A1298" s="4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 s="6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1">
        <v>45301</v>
      </c>
      <c r="R1298" s="1">
        <v>45307</v>
      </c>
      <c r="S1298" s="14">
        <f>Sales[[#This Row],[DeliveryDate]]-Sales[[#This Row],[OrderDate]]</f>
        <v>6</v>
      </c>
      <c r="T1298" s="14" t="str">
        <f>IF(Sales[[#This Row],[Delivery Days]]&lt;=$W$2, "Timely", "Delayed")</f>
        <v>Timely</v>
      </c>
      <c r="U1298" t="s">
        <v>2924</v>
      </c>
    </row>
    <row r="1299" spans="1:21" x14ac:dyDescent="0.25">
      <c r="A1299" s="4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 s="6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1">
        <v>45794</v>
      </c>
      <c r="R1299" s="1">
        <v>45800</v>
      </c>
      <c r="S1299" s="14">
        <f>Sales[[#This Row],[DeliveryDate]]-Sales[[#This Row],[OrderDate]]</f>
        <v>6</v>
      </c>
      <c r="T1299" s="14" t="str">
        <f>IF(Sales[[#This Row],[Delivery Days]]&lt;=$W$2, "Timely", "Delayed")</f>
        <v>Timely</v>
      </c>
      <c r="U1299" t="s">
        <v>2923</v>
      </c>
    </row>
    <row r="1300" spans="1:21" x14ac:dyDescent="0.25">
      <c r="A1300" s="4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 s="6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1">
        <v>45499</v>
      </c>
      <c r="R1300" s="1">
        <v>45503</v>
      </c>
      <c r="S1300" s="14">
        <f>Sales[[#This Row],[DeliveryDate]]-Sales[[#This Row],[OrderDate]]</f>
        <v>4</v>
      </c>
      <c r="T1300" s="14" t="str">
        <f>IF(Sales[[#This Row],[Delivery Days]]&lt;=$W$2, "Timely", "Delayed")</f>
        <v>Timely</v>
      </c>
      <c r="U1300" t="s">
        <v>2925</v>
      </c>
    </row>
    <row r="1301" spans="1:21" x14ac:dyDescent="0.25">
      <c r="A1301" s="4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 s="6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1">
        <v>45652</v>
      </c>
      <c r="R1301" s="1">
        <v>45660</v>
      </c>
      <c r="S1301" s="14">
        <f>Sales[[#This Row],[DeliveryDate]]-Sales[[#This Row],[OrderDate]]</f>
        <v>8</v>
      </c>
      <c r="T1301" s="14" t="str">
        <f>IF(Sales[[#This Row],[Delivery Days]]&lt;=$W$2, "Timely", "Delayed")</f>
        <v>Delayed</v>
      </c>
      <c r="U1301" t="s">
        <v>2923</v>
      </c>
    </row>
    <row r="1302" spans="1:21" x14ac:dyDescent="0.25">
      <c r="A1302" s="4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 s="6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1">
        <v>45680</v>
      </c>
      <c r="R1302" s="1">
        <v>45688</v>
      </c>
      <c r="S1302" s="14">
        <f>Sales[[#This Row],[DeliveryDate]]-Sales[[#This Row],[OrderDate]]</f>
        <v>8</v>
      </c>
      <c r="T1302" s="14" t="str">
        <f>IF(Sales[[#This Row],[Delivery Days]]&lt;=$W$2, "Timely", "Delayed")</f>
        <v>Delayed</v>
      </c>
      <c r="U1302" t="s">
        <v>2922</v>
      </c>
    </row>
    <row r="1303" spans="1:21" x14ac:dyDescent="0.25">
      <c r="A1303" s="4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 s="6">
        <v>2811.8159999999998</v>
      </c>
      <c r="K1303" t="s">
        <v>46</v>
      </c>
      <c r="L1303" t="s">
        <v>2941</v>
      </c>
      <c r="M1303">
        <v>0</v>
      </c>
      <c r="N1303" t="s">
        <v>1352</v>
      </c>
      <c r="O1303" t="s">
        <v>2763</v>
      </c>
      <c r="P1303">
        <v>47.23</v>
      </c>
      <c r="Q1303" s="1">
        <v>45376</v>
      </c>
      <c r="R1303" s="1">
        <v>45383</v>
      </c>
      <c r="S1303" s="14">
        <f>Sales[[#This Row],[DeliveryDate]]-Sales[[#This Row],[OrderDate]]</f>
        <v>7</v>
      </c>
      <c r="T1303" s="14" t="str">
        <f>IF(Sales[[#This Row],[Delivery Days]]&lt;=$W$2, "Timely", "Delayed")</f>
        <v>Delayed</v>
      </c>
      <c r="U1303" t="s">
        <v>2923</v>
      </c>
    </row>
    <row r="1304" spans="1:21" x14ac:dyDescent="0.25">
      <c r="A1304" s="4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 s="6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1">
        <v>45720</v>
      </c>
      <c r="R1304" s="1">
        <v>45727</v>
      </c>
      <c r="S1304" s="14">
        <f>Sales[[#This Row],[DeliveryDate]]-Sales[[#This Row],[OrderDate]]</f>
        <v>7</v>
      </c>
      <c r="T1304" s="14" t="str">
        <f>IF(Sales[[#This Row],[Delivery Days]]&lt;=$W$2, "Timely", "Delayed")</f>
        <v>Delayed</v>
      </c>
      <c r="U1304" t="s">
        <v>2925</v>
      </c>
    </row>
    <row r="1305" spans="1:21" x14ac:dyDescent="0.25">
      <c r="A1305" s="4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 s="6">
        <v>3469.2840000000001</v>
      </c>
      <c r="K1305" t="s">
        <v>43</v>
      </c>
      <c r="L1305" t="s">
        <v>2941</v>
      </c>
      <c r="M1305">
        <v>1</v>
      </c>
      <c r="N1305" t="s">
        <v>1354</v>
      </c>
      <c r="O1305" t="s">
        <v>2764</v>
      </c>
      <c r="P1305">
        <v>32.799999999999997</v>
      </c>
      <c r="Q1305" s="1">
        <v>45219</v>
      </c>
      <c r="R1305" s="1">
        <v>45223</v>
      </c>
      <c r="S1305" s="14">
        <f>Sales[[#This Row],[DeliveryDate]]-Sales[[#This Row],[OrderDate]]</f>
        <v>4</v>
      </c>
      <c r="T1305" s="14" t="str">
        <f>IF(Sales[[#This Row],[Delivery Days]]&lt;=$W$2, "Timely", "Delayed")</f>
        <v>Timely</v>
      </c>
      <c r="U1305" t="s">
        <v>2923</v>
      </c>
    </row>
    <row r="1306" spans="1:21" x14ac:dyDescent="0.25">
      <c r="A1306" s="4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 s="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1">
        <v>45554</v>
      </c>
      <c r="R1306" s="1">
        <v>45563</v>
      </c>
      <c r="S1306" s="14">
        <f>Sales[[#This Row],[DeliveryDate]]-Sales[[#This Row],[OrderDate]]</f>
        <v>9</v>
      </c>
      <c r="T1306" s="14" t="str">
        <f>IF(Sales[[#This Row],[Delivery Days]]&lt;=$W$2, "Timely", "Delayed")</f>
        <v>Delayed</v>
      </c>
      <c r="U1306" t="s">
        <v>2925</v>
      </c>
    </row>
    <row r="1307" spans="1:21" x14ac:dyDescent="0.25">
      <c r="A1307" s="4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 s="6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1">
        <v>45192</v>
      </c>
      <c r="R1307" s="1">
        <v>45195</v>
      </c>
      <c r="S1307" s="14">
        <f>Sales[[#This Row],[DeliveryDate]]-Sales[[#This Row],[OrderDate]]</f>
        <v>3</v>
      </c>
      <c r="T1307" s="14" t="str">
        <f>IF(Sales[[#This Row],[Delivery Days]]&lt;=$W$2, "Timely", "Delayed")</f>
        <v>Timely</v>
      </c>
      <c r="U1307" t="s">
        <v>2924</v>
      </c>
    </row>
    <row r="1308" spans="1:21" x14ac:dyDescent="0.25">
      <c r="A1308" s="4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 s="6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1">
        <v>45657</v>
      </c>
      <c r="R1308" s="1">
        <v>45659</v>
      </c>
      <c r="S1308" s="14">
        <f>Sales[[#This Row],[DeliveryDate]]-Sales[[#This Row],[OrderDate]]</f>
        <v>2</v>
      </c>
      <c r="T1308" s="14" t="str">
        <f>IF(Sales[[#This Row],[Delivery Days]]&lt;=$W$2, "Timely", "Delayed")</f>
        <v>Timely</v>
      </c>
      <c r="U1308" t="s">
        <v>2922</v>
      </c>
    </row>
    <row r="1309" spans="1:21" x14ac:dyDescent="0.25">
      <c r="A1309" s="4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 s="6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1">
        <v>45314</v>
      </c>
      <c r="R1309" s="1">
        <v>45322</v>
      </c>
      <c r="S1309" s="14">
        <f>Sales[[#This Row],[DeliveryDate]]-Sales[[#This Row],[OrderDate]]</f>
        <v>8</v>
      </c>
      <c r="T1309" s="14" t="str">
        <f>IF(Sales[[#This Row],[Delivery Days]]&lt;=$W$2, "Timely", "Delayed")</f>
        <v>Delayed</v>
      </c>
      <c r="U1309" t="s">
        <v>2924</v>
      </c>
    </row>
    <row r="1310" spans="1:21" x14ac:dyDescent="0.25">
      <c r="A1310" s="4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 s="6">
        <v>3371.7600000000011</v>
      </c>
      <c r="K1310" t="s">
        <v>46</v>
      </c>
      <c r="L1310" t="s">
        <v>2941</v>
      </c>
      <c r="M1310">
        <v>0</v>
      </c>
      <c r="N1310" t="s">
        <v>1359</v>
      </c>
      <c r="O1310" t="s">
        <v>2767</v>
      </c>
      <c r="P1310">
        <v>10.44</v>
      </c>
      <c r="Q1310" s="1">
        <v>45090</v>
      </c>
      <c r="R1310" s="1">
        <v>45100</v>
      </c>
      <c r="S1310" s="14">
        <f>Sales[[#This Row],[DeliveryDate]]-Sales[[#This Row],[OrderDate]]</f>
        <v>10</v>
      </c>
      <c r="T1310" s="14" t="str">
        <f>IF(Sales[[#This Row],[Delivery Days]]&lt;=$W$2, "Timely", "Delayed")</f>
        <v>Delayed</v>
      </c>
      <c r="U1310" t="s">
        <v>2922</v>
      </c>
    </row>
    <row r="1311" spans="1:21" x14ac:dyDescent="0.25">
      <c r="A1311" s="4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 s="6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1">
        <v>45108</v>
      </c>
      <c r="R1311" s="1">
        <v>45113</v>
      </c>
      <c r="S1311" s="14">
        <f>Sales[[#This Row],[DeliveryDate]]-Sales[[#This Row],[OrderDate]]</f>
        <v>5</v>
      </c>
      <c r="T1311" s="14" t="str">
        <f>IF(Sales[[#This Row],[Delivery Days]]&lt;=$W$2, "Timely", "Delayed")</f>
        <v>Timely</v>
      </c>
      <c r="U1311" t="s">
        <v>2922</v>
      </c>
    </row>
    <row r="1312" spans="1:21" x14ac:dyDescent="0.25">
      <c r="A1312" s="4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 s="6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1">
        <v>45738</v>
      </c>
      <c r="R1312" s="1">
        <v>45741</v>
      </c>
      <c r="S1312" s="14">
        <f>Sales[[#This Row],[DeliveryDate]]-Sales[[#This Row],[OrderDate]]</f>
        <v>3</v>
      </c>
      <c r="T1312" s="14" t="str">
        <f>IF(Sales[[#This Row],[Delivery Days]]&lt;=$W$2, "Timely", "Delayed")</f>
        <v>Timely</v>
      </c>
      <c r="U1312" t="s">
        <v>2923</v>
      </c>
    </row>
    <row r="1313" spans="1:21" x14ac:dyDescent="0.25">
      <c r="A1313" s="4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 s="6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1">
        <v>45695</v>
      </c>
      <c r="R1313" s="1">
        <v>45703</v>
      </c>
      <c r="S1313" s="14">
        <f>Sales[[#This Row],[DeliveryDate]]-Sales[[#This Row],[OrderDate]]</f>
        <v>8</v>
      </c>
      <c r="T1313" s="14" t="str">
        <f>IF(Sales[[#This Row],[Delivery Days]]&lt;=$W$2, "Timely", "Delayed")</f>
        <v>Delayed</v>
      </c>
      <c r="U1313" t="s">
        <v>2923</v>
      </c>
    </row>
    <row r="1314" spans="1:21" x14ac:dyDescent="0.25">
      <c r="A1314" s="4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 s="6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1">
        <v>45217</v>
      </c>
      <c r="R1314" s="1">
        <v>45225</v>
      </c>
      <c r="S1314" s="14">
        <f>Sales[[#This Row],[DeliveryDate]]-Sales[[#This Row],[OrderDate]]</f>
        <v>8</v>
      </c>
      <c r="T1314" s="14" t="str">
        <f>IF(Sales[[#This Row],[Delivery Days]]&lt;=$W$2, "Timely", "Delayed")</f>
        <v>Delayed</v>
      </c>
      <c r="U1314" t="s">
        <v>2924</v>
      </c>
    </row>
    <row r="1315" spans="1:21" x14ac:dyDescent="0.25">
      <c r="A1315" s="4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 s="6">
        <v>351.28800000000001</v>
      </c>
      <c r="K1315" t="s">
        <v>43</v>
      </c>
      <c r="L1315" t="s">
        <v>2941</v>
      </c>
      <c r="M1315">
        <v>0</v>
      </c>
      <c r="N1315" t="s">
        <v>1364</v>
      </c>
      <c r="O1315" t="s">
        <v>2772</v>
      </c>
      <c r="P1315">
        <v>38.979999999999997</v>
      </c>
      <c r="Q1315" s="1">
        <v>45293</v>
      </c>
      <c r="R1315" s="1">
        <v>45302</v>
      </c>
      <c r="S1315" s="14">
        <f>Sales[[#This Row],[DeliveryDate]]-Sales[[#This Row],[OrderDate]]</f>
        <v>9</v>
      </c>
      <c r="T1315" s="14" t="str">
        <f>IF(Sales[[#This Row],[Delivery Days]]&lt;=$W$2, "Timely", "Delayed")</f>
        <v>Delayed</v>
      </c>
      <c r="U1315" t="s">
        <v>2925</v>
      </c>
    </row>
    <row r="1316" spans="1:21" x14ac:dyDescent="0.25">
      <c r="A1316" s="4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 s="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1">
        <v>45724</v>
      </c>
      <c r="R1316" s="1">
        <v>45733</v>
      </c>
      <c r="S1316" s="14">
        <f>Sales[[#This Row],[DeliveryDate]]-Sales[[#This Row],[OrderDate]]</f>
        <v>9</v>
      </c>
      <c r="T1316" s="14" t="str">
        <f>IF(Sales[[#This Row],[Delivery Days]]&lt;=$W$2, "Timely", "Delayed")</f>
        <v>Delayed</v>
      </c>
      <c r="U1316" t="s">
        <v>2923</v>
      </c>
    </row>
    <row r="1317" spans="1:21" x14ac:dyDescent="0.25">
      <c r="A1317" s="4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 s="6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1">
        <v>45110</v>
      </c>
      <c r="R1317" s="1">
        <v>45115</v>
      </c>
      <c r="S1317" s="14">
        <f>Sales[[#This Row],[DeliveryDate]]-Sales[[#This Row],[OrderDate]]</f>
        <v>5</v>
      </c>
      <c r="T1317" s="14" t="str">
        <f>IF(Sales[[#This Row],[Delivery Days]]&lt;=$W$2, "Timely", "Delayed")</f>
        <v>Timely</v>
      </c>
      <c r="U1317" t="s">
        <v>2926</v>
      </c>
    </row>
    <row r="1318" spans="1:21" x14ac:dyDescent="0.25">
      <c r="A1318" s="4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 s="6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1">
        <v>45245</v>
      </c>
      <c r="R1318" s="1">
        <v>45252</v>
      </c>
      <c r="S1318" s="14">
        <f>Sales[[#This Row],[DeliveryDate]]-Sales[[#This Row],[OrderDate]]</f>
        <v>7</v>
      </c>
      <c r="T1318" s="14" t="str">
        <f>IF(Sales[[#This Row],[Delivery Days]]&lt;=$W$2, "Timely", "Delayed")</f>
        <v>Delayed</v>
      </c>
      <c r="U1318" t="s">
        <v>2924</v>
      </c>
    </row>
    <row r="1319" spans="1:21" x14ac:dyDescent="0.25">
      <c r="A1319" s="4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 s="6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1">
        <v>45332</v>
      </c>
      <c r="R1319" s="1">
        <v>45339</v>
      </c>
      <c r="S1319" s="14">
        <f>Sales[[#This Row],[DeliveryDate]]-Sales[[#This Row],[OrderDate]]</f>
        <v>7</v>
      </c>
      <c r="T1319" s="14" t="str">
        <f>IF(Sales[[#This Row],[Delivery Days]]&lt;=$W$2, "Timely", "Delayed")</f>
        <v>Delayed</v>
      </c>
      <c r="U1319" t="s">
        <v>2926</v>
      </c>
    </row>
    <row r="1320" spans="1:21" x14ac:dyDescent="0.25">
      <c r="A1320" s="4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 s="6">
        <v>3752.64</v>
      </c>
      <c r="K1320" t="s">
        <v>44</v>
      </c>
      <c r="L1320" t="s">
        <v>2941</v>
      </c>
      <c r="M1320">
        <v>0</v>
      </c>
      <c r="N1320" t="s">
        <v>1369</v>
      </c>
      <c r="O1320" t="s">
        <v>2019</v>
      </c>
      <c r="P1320">
        <v>18.46</v>
      </c>
      <c r="Q1320" s="1">
        <v>45756</v>
      </c>
      <c r="R1320" s="1">
        <v>45766</v>
      </c>
      <c r="S1320" s="14">
        <f>Sales[[#This Row],[DeliveryDate]]-Sales[[#This Row],[OrderDate]]</f>
        <v>10</v>
      </c>
      <c r="T1320" s="14" t="str">
        <f>IF(Sales[[#This Row],[Delivery Days]]&lt;=$W$2, "Timely", "Delayed")</f>
        <v>Delayed</v>
      </c>
      <c r="U1320" t="s">
        <v>2926</v>
      </c>
    </row>
    <row r="1321" spans="1:21" x14ac:dyDescent="0.25">
      <c r="A1321" s="4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 s="6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1">
        <v>45178</v>
      </c>
      <c r="R1321" s="1">
        <v>45181</v>
      </c>
      <c r="S1321" s="14">
        <f>Sales[[#This Row],[DeliveryDate]]-Sales[[#This Row],[OrderDate]]</f>
        <v>3</v>
      </c>
      <c r="T1321" s="14" t="str">
        <f>IF(Sales[[#This Row],[Delivery Days]]&lt;=$W$2, "Timely", "Delayed")</f>
        <v>Timely</v>
      </c>
      <c r="U1321" t="s">
        <v>2926</v>
      </c>
    </row>
    <row r="1322" spans="1:21" x14ac:dyDescent="0.25">
      <c r="A1322" s="4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 s="6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1">
        <v>45004</v>
      </c>
      <c r="R1322" s="1">
        <v>45011</v>
      </c>
      <c r="S1322" s="14">
        <f>Sales[[#This Row],[DeliveryDate]]-Sales[[#This Row],[OrderDate]]</f>
        <v>7</v>
      </c>
      <c r="T1322" s="14" t="str">
        <f>IF(Sales[[#This Row],[Delivery Days]]&lt;=$W$2, "Timely", "Delayed")</f>
        <v>Delayed</v>
      </c>
      <c r="U1322" t="s">
        <v>2922</v>
      </c>
    </row>
    <row r="1323" spans="1:21" x14ac:dyDescent="0.25">
      <c r="A1323" s="4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 s="6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1">
        <v>45657</v>
      </c>
      <c r="R1323" s="1">
        <v>45659</v>
      </c>
      <c r="S1323" s="14">
        <f>Sales[[#This Row],[DeliveryDate]]-Sales[[#This Row],[OrderDate]]</f>
        <v>2</v>
      </c>
      <c r="T1323" s="14" t="str">
        <f>IF(Sales[[#This Row],[Delivery Days]]&lt;=$W$2, "Timely", "Delayed")</f>
        <v>Timely</v>
      </c>
      <c r="U1323" t="s">
        <v>2925</v>
      </c>
    </row>
    <row r="1324" spans="1:21" x14ac:dyDescent="0.25">
      <c r="A1324" s="4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 s="6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1">
        <v>45254</v>
      </c>
      <c r="R1324" s="1">
        <v>45256</v>
      </c>
      <c r="S1324" s="14">
        <f>Sales[[#This Row],[DeliveryDate]]-Sales[[#This Row],[OrderDate]]</f>
        <v>2</v>
      </c>
      <c r="T1324" s="14" t="str">
        <f>IF(Sales[[#This Row],[Delivery Days]]&lt;=$W$2, "Timely", "Delayed")</f>
        <v>Timely</v>
      </c>
      <c r="U1324" t="s">
        <v>2925</v>
      </c>
    </row>
    <row r="1325" spans="1:21" x14ac:dyDescent="0.25">
      <c r="A1325" s="4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 s="6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1">
        <v>45792</v>
      </c>
      <c r="R1325" s="1">
        <v>45799</v>
      </c>
      <c r="S1325" s="14">
        <f>Sales[[#This Row],[DeliveryDate]]-Sales[[#This Row],[OrderDate]]</f>
        <v>7</v>
      </c>
      <c r="T1325" s="14" t="str">
        <f>IF(Sales[[#This Row],[Delivery Days]]&lt;=$W$2, "Timely", "Delayed")</f>
        <v>Delayed</v>
      </c>
      <c r="U1325" t="s">
        <v>2922</v>
      </c>
    </row>
    <row r="1326" spans="1:21" x14ac:dyDescent="0.25">
      <c r="A1326" s="4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 s="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1">
        <v>45753</v>
      </c>
      <c r="R1326" s="1">
        <v>45758</v>
      </c>
      <c r="S1326" s="14">
        <f>Sales[[#This Row],[DeliveryDate]]-Sales[[#This Row],[OrderDate]]</f>
        <v>5</v>
      </c>
      <c r="T1326" s="14" t="str">
        <f>IF(Sales[[#This Row],[Delivery Days]]&lt;=$W$2, "Timely", "Delayed")</f>
        <v>Timely</v>
      </c>
      <c r="U1326" t="s">
        <v>2923</v>
      </c>
    </row>
    <row r="1327" spans="1:21" x14ac:dyDescent="0.25">
      <c r="A1327" s="4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 s="6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1">
        <v>45328</v>
      </c>
      <c r="R1327" s="1">
        <v>45336</v>
      </c>
      <c r="S1327" s="14">
        <f>Sales[[#This Row],[DeliveryDate]]-Sales[[#This Row],[OrderDate]]</f>
        <v>8</v>
      </c>
      <c r="T1327" s="14" t="str">
        <f>IF(Sales[[#This Row],[Delivery Days]]&lt;=$W$2, "Timely", "Delayed")</f>
        <v>Delayed</v>
      </c>
      <c r="U1327" t="s">
        <v>2923</v>
      </c>
    </row>
    <row r="1328" spans="1:21" x14ac:dyDescent="0.25">
      <c r="A1328" s="4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 s="6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1">
        <v>45791</v>
      </c>
      <c r="R1328" s="1">
        <v>45797</v>
      </c>
      <c r="S1328" s="14">
        <f>Sales[[#This Row],[DeliveryDate]]-Sales[[#This Row],[OrderDate]]</f>
        <v>6</v>
      </c>
      <c r="T1328" s="14" t="str">
        <f>IF(Sales[[#This Row],[Delivery Days]]&lt;=$W$2, "Timely", "Delayed")</f>
        <v>Timely</v>
      </c>
      <c r="U1328" t="s">
        <v>2924</v>
      </c>
    </row>
    <row r="1329" spans="1:21" x14ac:dyDescent="0.25">
      <c r="A1329" s="4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 s="6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1">
        <v>44939</v>
      </c>
      <c r="R1329" s="1">
        <v>44944</v>
      </c>
      <c r="S1329" s="14">
        <f>Sales[[#This Row],[DeliveryDate]]-Sales[[#This Row],[OrderDate]]</f>
        <v>5</v>
      </c>
      <c r="T1329" s="14" t="str">
        <f>IF(Sales[[#This Row],[Delivery Days]]&lt;=$W$2, "Timely", "Delayed")</f>
        <v>Timely</v>
      </c>
      <c r="U1329" t="s">
        <v>2922</v>
      </c>
    </row>
    <row r="1330" spans="1:21" x14ac:dyDescent="0.25">
      <c r="A1330" s="4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 s="6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1">
        <v>45341</v>
      </c>
      <c r="R1330" s="1">
        <v>45350</v>
      </c>
      <c r="S1330" s="14">
        <f>Sales[[#This Row],[DeliveryDate]]-Sales[[#This Row],[OrderDate]]</f>
        <v>9</v>
      </c>
      <c r="T1330" s="14" t="str">
        <f>IF(Sales[[#This Row],[Delivery Days]]&lt;=$W$2, "Timely", "Delayed")</f>
        <v>Delayed</v>
      </c>
      <c r="U1330" t="s">
        <v>2924</v>
      </c>
    </row>
    <row r="1331" spans="1:21" x14ac:dyDescent="0.25">
      <c r="A1331" s="4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 s="6">
        <v>1183.4804999999999</v>
      </c>
      <c r="K1331" t="s">
        <v>44</v>
      </c>
      <c r="L1331" t="s">
        <v>2941</v>
      </c>
      <c r="M1331">
        <v>0</v>
      </c>
      <c r="N1331" t="s">
        <v>1380</v>
      </c>
      <c r="O1331" t="s">
        <v>2786</v>
      </c>
      <c r="P1331">
        <v>27.45</v>
      </c>
      <c r="Q1331" s="1">
        <v>45206</v>
      </c>
      <c r="R1331" s="1">
        <v>45211</v>
      </c>
      <c r="S1331" s="14">
        <f>Sales[[#This Row],[DeliveryDate]]-Sales[[#This Row],[OrderDate]]</f>
        <v>5</v>
      </c>
      <c r="T1331" s="14" t="str">
        <f>IF(Sales[[#This Row],[Delivery Days]]&lt;=$W$2, "Timely", "Delayed")</f>
        <v>Timely</v>
      </c>
      <c r="U1331" t="s">
        <v>2923</v>
      </c>
    </row>
    <row r="1332" spans="1:21" x14ac:dyDescent="0.25">
      <c r="A1332" s="4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 s="6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1">
        <v>45552</v>
      </c>
      <c r="R1332" s="1">
        <v>45554</v>
      </c>
      <c r="S1332" s="14">
        <f>Sales[[#This Row],[DeliveryDate]]-Sales[[#This Row],[OrderDate]]</f>
        <v>2</v>
      </c>
      <c r="T1332" s="14" t="str">
        <f>IF(Sales[[#This Row],[Delivery Days]]&lt;=$W$2, "Timely", "Delayed")</f>
        <v>Timely</v>
      </c>
      <c r="U1332" t="s">
        <v>2925</v>
      </c>
    </row>
    <row r="1333" spans="1:21" x14ac:dyDescent="0.25">
      <c r="A1333" s="4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 s="6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1">
        <v>45053</v>
      </c>
      <c r="R1333" s="1">
        <v>45063</v>
      </c>
      <c r="S1333" s="14">
        <f>Sales[[#This Row],[DeliveryDate]]-Sales[[#This Row],[OrderDate]]</f>
        <v>10</v>
      </c>
      <c r="T1333" s="14" t="str">
        <f>IF(Sales[[#This Row],[Delivery Days]]&lt;=$W$2, "Timely", "Delayed")</f>
        <v>Delayed</v>
      </c>
      <c r="U1333" t="s">
        <v>2924</v>
      </c>
    </row>
    <row r="1334" spans="1:21" x14ac:dyDescent="0.25">
      <c r="A1334" s="4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 s="6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1">
        <v>45272</v>
      </c>
      <c r="R1334" s="1">
        <v>45281</v>
      </c>
      <c r="S1334" s="14">
        <f>Sales[[#This Row],[DeliveryDate]]-Sales[[#This Row],[OrderDate]]</f>
        <v>9</v>
      </c>
      <c r="T1334" s="14" t="str">
        <f>IF(Sales[[#This Row],[Delivery Days]]&lt;=$W$2, "Timely", "Delayed")</f>
        <v>Delayed</v>
      </c>
      <c r="U1334" t="s">
        <v>2924</v>
      </c>
    </row>
    <row r="1335" spans="1:21" x14ac:dyDescent="0.25">
      <c r="A1335" s="4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 s="6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1">
        <v>45727</v>
      </c>
      <c r="R1335" s="1">
        <v>45730</v>
      </c>
      <c r="S1335" s="14">
        <f>Sales[[#This Row],[DeliveryDate]]-Sales[[#This Row],[OrderDate]]</f>
        <v>3</v>
      </c>
      <c r="T1335" s="14" t="str">
        <f>IF(Sales[[#This Row],[Delivery Days]]&lt;=$W$2, "Timely", "Delayed")</f>
        <v>Timely</v>
      </c>
      <c r="U1335" t="s">
        <v>2925</v>
      </c>
    </row>
    <row r="1336" spans="1:21" x14ac:dyDescent="0.25">
      <c r="A1336" s="4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 s="6">
        <v>359.44200000000001</v>
      </c>
      <c r="K1336" t="s">
        <v>47</v>
      </c>
      <c r="L1336" t="s">
        <v>2941</v>
      </c>
      <c r="M1336">
        <v>0</v>
      </c>
      <c r="N1336" t="s">
        <v>1385</v>
      </c>
      <c r="O1336" t="s">
        <v>2780</v>
      </c>
      <c r="P1336">
        <v>7.59</v>
      </c>
      <c r="Q1336" s="1">
        <v>45380</v>
      </c>
      <c r="R1336" s="1">
        <v>45389</v>
      </c>
      <c r="S1336" s="14">
        <f>Sales[[#This Row],[DeliveryDate]]-Sales[[#This Row],[OrderDate]]</f>
        <v>9</v>
      </c>
      <c r="T1336" s="14" t="str">
        <f>IF(Sales[[#This Row],[Delivery Days]]&lt;=$W$2, "Timely", "Delayed")</f>
        <v>Delayed</v>
      </c>
      <c r="U1336" t="s">
        <v>2922</v>
      </c>
    </row>
    <row r="1337" spans="1:21" x14ac:dyDescent="0.25">
      <c r="A1337" s="4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 s="6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1">
        <v>45501</v>
      </c>
      <c r="R1337" s="1">
        <v>45509</v>
      </c>
      <c r="S1337" s="14">
        <f>Sales[[#This Row],[DeliveryDate]]-Sales[[#This Row],[OrderDate]]</f>
        <v>8</v>
      </c>
      <c r="T1337" s="14" t="str">
        <f>IF(Sales[[#This Row],[Delivery Days]]&lt;=$W$2, "Timely", "Delayed")</f>
        <v>Delayed</v>
      </c>
      <c r="U1337" t="s">
        <v>2926</v>
      </c>
    </row>
    <row r="1338" spans="1:21" x14ac:dyDescent="0.25">
      <c r="A1338" s="4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 s="6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1">
        <v>45484</v>
      </c>
      <c r="R1338" s="1">
        <v>45494</v>
      </c>
      <c r="S1338" s="14">
        <f>Sales[[#This Row],[DeliveryDate]]-Sales[[#This Row],[OrderDate]]</f>
        <v>10</v>
      </c>
      <c r="T1338" s="14" t="str">
        <f>IF(Sales[[#This Row],[Delivery Days]]&lt;=$W$2, "Timely", "Delayed")</f>
        <v>Delayed</v>
      </c>
      <c r="U1338" t="s">
        <v>2923</v>
      </c>
    </row>
    <row r="1339" spans="1:21" x14ac:dyDescent="0.25">
      <c r="A1339" s="4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 s="6">
        <v>1684.4960000000001</v>
      </c>
      <c r="K1339" t="s">
        <v>44</v>
      </c>
      <c r="L1339" t="s">
        <v>2941</v>
      </c>
      <c r="M1339">
        <v>1</v>
      </c>
      <c r="N1339" t="s">
        <v>1388</v>
      </c>
      <c r="O1339" t="s">
        <v>2791</v>
      </c>
      <c r="P1339">
        <v>18.02</v>
      </c>
      <c r="Q1339" s="1">
        <v>45478</v>
      </c>
      <c r="R1339" s="1">
        <v>45487</v>
      </c>
      <c r="S1339" s="14">
        <f>Sales[[#This Row],[DeliveryDate]]-Sales[[#This Row],[OrderDate]]</f>
        <v>9</v>
      </c>
      <c r="T1339" s="14" t="str">
        <f>IF(Sales[[#This Row],[Delivery Days]]&lt;=$W$2, "Timely", "Delayed")</f>
        <v>Delayed</v>
      </c>
      <c r="U1339" t="s">
        <v>2926</v>
      </c>
    </row>
    <row r="1340" spans="1:21" x14ac:dyDescent="0.25">
      <c r="A1340" s="4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 s="6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1">
        <v>45370</v>
      </c>
      <c r="R1340" s="1">
        <v>45375</v>
      </c>
      <c r="S1340" s="14">
        <f>Sales[[#This Row],[DeliveryDate]]-Sales[[#This Row],[OrderDate]]</f>
        <v>5</v>
      </c>
      <c r="T1340" s="14" t="str">
        <f>IF(Sales[[#This Row],[Delivery Days]]&lt;=$W$2, "Timely", "Delayed")</f>
        <v>Timely</v>
      </c>
      <c r="U1340" t="s">
        <v>2922</v>
      </c>
    </row>
    <row r="1341" spans="1:21" x14ac:dyDescent="0.25">
      <c r="A1341" s="4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 s="6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1">
        <v>45285</v>
      </c>
      <c r="R1341" s="1">
        <v>45289</v>
      </c>
      <c r="S1341" s="14">
        <f>Sales[[#This Row],[DeliveryDate]]-Sales[[#This Row],[OrderDate]]</f>
        <v>4</v>
      </c>
      <c r="T1341" s="14" t="str">
        <f>IF(Sales[[#This Row],[Delivery Days]]&lt;=$W$2, "Timely", "Delayed")</f>
        <v>Timely</v>
      </c>
      <c r="U1341" t="s">
        <v>2925</v>
      </c>
    </row>
    <row r="1342" spans="1:21" x14ac:dyDescent="0.25">
      <c r="A1342" s="4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 s="6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1">
        <v>45629</v>
      </c>
      <c r="R1342" s="1">
        <v>45631</v>
      </c>
      <c r="S1342" s="14">
        <f>Sales[[#This Row],[DeliveryDate]]-Sales[[#This Row],[OrderDate]]</f>
        <v>2</v>
      </c>
      <c r="T1342" s="14" t="str">
        <f>IF(Sales[[#This Row],[Delivery Days]]&lt;=$W$2, "Timely", "Delayed")</f>
        <v>Timely</v>
      </c>
      <c r="U1342" t="s">
        <v>2923</v>
      </c>
    </row>
    <row r="1343" spans="1:21" x14ac:dyDescent="0.25">
      <c r="A1343" s="4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 s="6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1">
        <v>45177</v>
      </c>
      <c r="R1343" s="1">
        <v>45184</v>
      </c>
      <c r="S1343" s="14">
        <f>Sales[[#This Row],[DeliveryDate]]-Sales[[#This Row],[OrderDate]]</f>
        <v>7</v>
      </c>
      <c r="T1343" s="14" t="str">
        <f>IF(Sales[[#This Row],[Delivery Days]]&lt;=$W$2, "Timely", "Delayed")</f>
        <v>Delayed</v>
      </c>
      <c r="U1343" t="s">
        <v>2922</v>
      </c>
    </row>
    <row r="1344" spans="1:21" x14ac:dyDescent="0.25">
      <c r="A1344" s="4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 s="6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1">
        <v>45296</v>
      </c>
      <c r="R1344" s="1">
        <v>45298</v>
      </c>
      <c r="S1344" s="14">
        <f>Sales[[#This Row],[DeliveryDate]]-Sales[[#This Row],[OrderDate]]</f>
        <v>2</v>
      </c>
      <c r="T1344" s="14" t="str">
        <f>IF(Sales[[#This Row],[Delivery Days]]&lt;=$W$2, "Timely", "Delayed")</f>
        <v>Timely</v>
      </c>
      <c r="U1344" t="s">
        <v>2922</v>
      </c>
    </row>
    <row r="1345" spans="1:21" x14ac:dyDescent="0.25">
      <c r="A1345" s="4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 s="6">
        <v>776.86249999999995</v>
      </c>
      <c r="K1345" t="s">
        <v>47</v>
      </c>
      <c r="L1345" t="s">
        <v>2941</v>
      </c>
      <c r="M1345">
        <v>0</v>
      </c>
      <c r="N1345" t="s">
        <v>1394</v>
      </c>
      <c r="O1345" t="s">
        <v>2797</v>
      </c>
      <c r="P1345">
        <v>28.9</v>
      </c>
      <c r="Q1345" s="1">
        <v>45141</v>
      </c>
      <c r="R1345" s="1">
        <v>45148</v>
      </c>
      <c r="S1345" s="14">
        <f>Sales[[#This Row],[DeliveryDate]]-Sales[[#This Row],[OrderDate]]</f>
        <v>7</v>
      </c>
      <c r="T1345" s="14" t="str">
        <f>IF(Sales[[#This Row],[Delivery Days]]&lt;=$W$2, "Timely", "Delayed")</f>
        <v>Delayed</v>
      </c>
      <c r="U1345" t="s">
        <v>2923</v>
      </c>
    </row>
    <row r="1346" spans="1:21" x14ac:dyDescent="0.25">
      <c r="A1346" s="4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 s="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1">
        <v>45699</v>
      </c>
      <c r="R1346" s="1">
        <v>45709</v>
      </c>
      <c r="S1346" s="14">
        <f>Sales[[#This Row],[DeliveryDate]]-Sales[[#This Row],[OrderDate]]</f>
        <v>10</v>
      </c>
      <c r="T1346" s="14" t="str">
        <f>IF(Sales[[#This Row],[Delivery Days]]&lt;=$W$2, "Timely", "Delayed")</f>
        <v>Delayed</v>
      </c>
      <c r="U1346" t="s">
        <v>2924</v>
      </c>
    </row>
    <row r="1347" spans="1:21" x14ac:dyDescent="0.25">
      <c r="A1347" s="4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 s="6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1">
        <v>45094</v>
      </c>
      <c r="R1347" s="1">
        <v>45098</v>
      </c>
      <c r="S1347" s="14">
        <f>Sales[[#This Row],[DeliveryDate]]-Sales[[#This Row],[OrderDate]]</f>
        <v>4</v>
      </c>
      <c r="T1347" s="14" t="str">
        <f>IF(Sales[[#This Row],[Delivery Days]]&lt;=$W$2, "Timely", "Delayed")</f>
        <v>Timely</v>
      </c>
      <c r="U1347" t="s">
        <v>2923</v>
      </c>
    </row>
    <row r="1348" spans="1:21" x14ac:dyDescent="0.25">
      <c r="A1348" s="4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 s="6">
        <v>5521.1239999999998</v>
      </c>
      <c r="K1348" t="s">
        <v>44</v>
      </c>
      <c r="L1348" t="s">
        <v>2941</v>
      </c>
      <c r="M1348">
        <v>0</v>
      </c>
      <c r="N1348" t="s">
        <v>1397</v>
      </c>
      <c r="O1348" t="s">
        <v>2800</v>
      </c>
      <c r="P1348">
        <v>29.19</v>
      </c>
      <c r="Q1348" s="1">
        <v>45327</v>
      </c>
      <c r="R1348" s="1">
        <v>45336</v>
      </c>
      <c r="S1348" s="14">
        <f>Sales[[#This Row],[DeliveryDate]]-Sales[[#This Row],[OrderDate]]</f>
        <v>9</v>
      </c>
      <c r="T1348" s="14" t="str">
        <f>IF(Sales[[#This Row],[Delivery Days]]&lt;=$W$2, "Timely", "Delayed")</f>
        <v>Delayed</v>
      </c>
      <c r="U1348" t="s">
        <v>2925</v>
      </c>
    </row>
    <row r="1349" spans="1:21" x14ac:dyDescent="0.25">
      <c r="A1349" s="4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 s="6">
        <v>580.29499999999996</v>
      </c>
      <c r="K1349" t="s">
        <v>45</v>
      </c>
      <c r="L1349" t="s">
        <v>2941</v>
      </c>
      <c r="M1349">
        <v>0</v>
      </c>
      <c r="N1349" t="s">
        <v>1398</v>
      </c>
      <c r="O1349" t="s">
        <v>2446</v>
      </c>
      <c r="P1349">
        <v>24.33</v>
      </c>
      <c r="Q1349" s="1">
        <v>45368</v>
      </c>
      <c r="R1349" s="1">
        <v>45378</v>
      </c>
      <c r="S1349" s="14">
        <f>Sales[[#This Row],[DeliveryDate]]-Sales[[#This Row],[OrderDate]]</f>
        <v>10</v>
      </c>
      <c r="T1349" s="14" t="str">
        <f>IF(Sales[[#This Row],[Delivery Days]]&lt;=$W$2, "Timely", "Delayed")</f>
        <v>Delayed</v>
      </c>
      <c r="U1349" t="s">
        <v>2923</v>
      </c>
    </row>
    <row r="1350" spans="1:21" x14ac:dyDescent="0.25">
      <c r="A1350" s="4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 s="6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1">
        <v>45325</v>
      </c>
      <c r="R1350" s="1">
        <v>45331</v>
      </c>
      <c r="S1350" s="14">
        <f>Sales[[#This Row],[DeliveryDate]]-Sales[[#This Row],[OrderDate]]</f>
        <v>6</v>
      </c>
      <c r="T1350" s="14" t="str">
        <f>IF(Sales[[#This Row],[Delivery Days]]&lt;=$W$2, "Timely", "Delayed")</f>
        <v>Timely</v>
      </c>
      <c r="U1350" t="s">
        <v>2925</v>
      </c>
    </row>
    <row r="1351" spans="1:21" x14ac:dyDescent="0.25">
      <c r="A1351" s="4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 s="6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1">
        <v>45016</v>
      </c>
      <c r="R1351" s="1">
        <v>45026</v>
      </c>
      <c r="S1351" s="14">
        <f>Sales[[#This Row],[DeliveryDate]]-Sales[[#This Row],[OrderDate]]</f>
        <v>10</v>
      </c>
      <c r="T1351" s="14" t="str">
        <f>IF(Sales[[#This Row],[Delivery Days]]&lt;=$W$2, "Timely", "Delayed")</f>
        <v>Delayed</v>
      </c>
      <c r="U1351" t="s">
        <v>2924</v>
      </c>
    </row>
    <row r="1352" spans="1:21" x14ac:dyDescent="0.25">
      <c r="A1352" s="4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 s="6">
        <v>2375.6480000000001</v>
      </c>
      <c r="K1352" t="s">
        <v>45</v>
      </c>
      <c r="L1352" t="s">
        <v>2941</v>
      </c>
      <c r="M1352">
        <v>0</v>
      </c>
      <c r="N1352" t="s">
        <v>1401</v>
      </c>
      <c r="O1352" t="s">
        <v>2639</v>
      </c>
      <c r="P1352">
        <v>45.99</v>
      </c>
      <c r="Q1352" s="1">
        <v>45156</v>
      </c>
      <c r="R1352" s="1">
        <v>45160</v>
      </c>
      <c r="S1352" s="14">
        <f>Sales[[#This Row],[DeliveryDate]]-Sales[[#This Row],[OrderDate]]</f>
        <v>4</v>
      </c>
      <c r="T1352" s="14" t="str">
        <f>IF(Sales[[#This Row],[Delivery Days]]&lt;=$W$2, "Timely", "Delayed")</f>
        <v>Timely</v>
      </c>
      <c r="U1352" t="s">
        <v>2926</v>
      </c>
    </row>
    <row r="1353" spans="1:21" x14ac:dyDescent="0.25">
      <c r="A1353" s="4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 s="6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1">
        <v>45179</v>
      </c>
      <c r="R1353" s="1">
        <v>45182</v>
      </c>
      <c r="S1353" s="14">
        <f>Sales[[#This Row],[DeliveryDate]]-Sales[[#This Row],[OrderDate]]</f>
        <v>3</v>
      </c>
      <c r="T1353" s="14" t="str">
        <f>IF(Sales[[#This Row],[Delivery Days]]&lt;=$W$2, "Timely", "Delayed")</f>
        <v>Timely</v>
      </c>
      <c r="U1353" t="s">
        <v>2925</v>
      </c>
    </row>
    <row r="1354" spans="1:21" x14ac:dyDescent="0.25">
      <c r="A1354" s="4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 s="6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1">
        <v>45320</v>
      </c>
      <c r="R1354" s="1">
        <v>45325</v>
      </c>
      <c r="S1354" s="14">
        <f>Sales[[#This Row],[DeliveryDate]]-Sales[[#This Row],[OrderDate]]</f>
        <v>5</v>
      </c>
      <c r="T1354" s="14" t="str">
        <f>IF(Sales[[#This Row],[Delivery Days]]&lt;=$W$2, "Timely", "Delayed")</f>
        <v>Timely</v>
      </c>
      <c r="U1354" t="s">
        <v>2923</v>
      </c>
    </row>
    <row r="1355" spans="1:21" x14ac:dyDescent="0.25">
      <c r="A1355" s="4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 s="6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1">
        <v>45372</v>
      </c>
      <c r="R1355" s="1">
        <v>45381</v>
      </c>
      <c r="S1355" s="14">
        <f>Sales[[#This Row],[DeliveryDate]]-Sales[[#This Row],[OrderDate]]</f>
        <v>9</v>
      </c>
      <c r="T1355" s="14" t="str">
        <f>IF(Sales[[#This Row],[Delivery Days]]&lt;=$W$2, "Timely", "Delayed")</f>
        <v>Delayed</v>
      </c>
      <c r="U1355" t="s">
        <v>2924</v>
      </c>
    </row>
    <row r="1356" spans="1:21" x14ac:dyDescent="0.25">
      <c r="A1356" s="4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 s="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1">
        <v>45507</v>
      </c>
      <c r="R1356" s="1">
        <v>45509</v>
      </c>
      <c r="S1356" s="14">
        <f>Sales[[#This Row],[DeliveryDate]]-Sales[[#This Row],[OrderDate]]</f>
        <v>2</v>
      </c>
      <c r="T1356" s="14" t="str">
        <f>IF(Sales[[#This Row],[Delivery Days]]&lt;=$W$2, "Timely", "Delayed")</f>
        <v>Timely</v>
      </c>
      <c r="U1356" t="s">
        <v>2926</v>
      </c>
    </row>
    <row r="1357" spans="1:21" x14ac:dyDescent="0.25">
      <c r="A1357" s="4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 s="6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1">
        <v>45782</v>
      </c>
      <c r="R1357" s="1">
        <v>45791</v>
      </c>
      <c r="S1357" s="14">
        <f>Sales[[#This Row],[DeliveryDate]]-Sales[[#This Row],[OrderDate]]</f>
        <v>9</v>
      </c>
      <c r="T1357" s="14" t="str">
        <f>IF(Sales[[#This Row],[Delivery Days]]&lt;=$W$2, "Timely", "Delayed")</f>
        <v>Delayed</v>
      </c>
      <c r="U1357" t="s">
        <v>2924</v>
      </c>
    </row>
    <row r="1358" spans="1:21" x14ac:dyDescent="0.25">
      <c r="A1358" s="4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 s="6">
        <v>1745.172</v>
      </c>
      <c r="K1358" t="s">
        <v>47</v>
      </c>
      <c r="L1358" t="s">
        <v>2941</v>
      </c>
      <c r="M1358">
        <v>1</v>
      </c>
      <c r="N1358" t="s">
        <v>1407</v>
      </c>
      <c r="O1358" t="s">
        <v>2113</v>
      </c>
      <c r="P1358">
        <v>20.9</v>
      </c>
      <c r="Q1358" s="1">
        <v>44965</v>
      </c>
      <c r="R1358" s="1">
        <v>44973</v>
      </c>
      <c r="S1358" s="14">
        <f>Sales[[#This Row],[DeliveryDate]]-Sales[[#This Row],[OrderDate]]</f>
        <v>8</v>
      </c>
      <c r="T1358" s="14" t="str">
        <f>IF(Sales[[#This Row],[Delivery Days]]&lt;=$W$2, "Timely", "Delayed")</f>
        <v>Delayed</v>
      </c>
      <c r="U1358" t="s">
        <v>2926</v>
      </c>
    </row>
    <row r="1359" spans="1:21" x14ac:dyDescent="0.25">
      <c r="A1359" s="4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 s="6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1">
        <v>45072</v>
      </c>
      <c r="R1359" s="1">
        <v>45082</v>
      </c>
      <c r="S1359" s="14">
        <f>Sales[[#This Row],[DeliveryDate]]-Sales[[#This Row],[OrderDate]]</f>
        <v>10</v>
      </c>
      <c r="T1359" s="14" t="str">
        <f>IF(Sales[[#This Row],[Delivery Days]]&lt;=$W$2, "Timely", "Delayed")</f>
        <v>Delayed</v>
      </c>
      <c r="U1359" t="s">
        <v>2925</v>
      </c>
    </row>
    <row r="1360" spans="1:21" x14ac:dyDescent="0.25">
      <c r="A1360" s="4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 s="6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1">
        <v>45488</v>
      </c>
      <c r="R1360" s="1">
        <v>45495</v>
      </c>
      <c r="S1360" s="14">
        <f>Sales[[#This Row],[DeliveryDate]]-Sales[[#This Row],[OrderDate]]</f>
        <v>7</v>
      </c>
      <c r="T1360" s="14" t="str">
        <f>IF(Sales[[#This Row],[Delivery Days]]&lt;=$W$2, "Timely", "Delayed")</f>
        <v>Delayed</v>
      </c>
      <c r="U1360" t="s">
        <v>2922</v>
      </c>
    </row>
    <row r="1361" spans="1:21" x14ac:dyDescent="0.25">
      <c r="A1361" s="4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 s="6">
        <v>2757.78</v>
      </c>
      <c r="K1361" t="s">
        <v>43</v>
      </c>
      <c r="L1361" t="s">
        <v>2941</v>
      </c>
      <c r="M1361">
        <v>0</v>
      </c>
      <c r="N1361" t="s">
        <v>1410</v>
      </c>
      <c r="O1361" t="s">
        <v>2807</v>
      </c>
      <c r="P1361">
        <v>15.81</v>
      </c>
      <c r="Q1361" s="1">
        <v>45644</v>
      </c>
      <c r="R1361" s="1">
        <v>45653</v>
      </c>
      <c r="S1361" s="14">
        <f>Sales[[#This Row],[DeliveryDate]]-Sales[[#This Row],[OrderDate]]</f>
        <v>9</v>
      </c>
      <c r="T1361" s="14" t="str">
        <f>IF(Sales[[#This Row],[Delivery Days]]&lt;=$W$2, "Timely", "Delayed")</f>
        <v>Delayed</v>
      </c>
      <c r="U1361" t="s">
        <v>2924</v>
      </c>
    </row>
    <row r="1362" spans="1:21" x14ac:dyDescent="0.25">
      <c r="A1362" s="4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 s="6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1">
        <v>45564</v>
      </c>
      <c r="R1362" s="1">
        <v>45573</v>
      </c>
      <c r="S1362" s="14">
        <f>Sales[[#This Row],[DeliveryDate]]-Sales[[#This Row],[OrderDate]]</f>
        <v>9</v>
      </c>
      <c r="T1362" s="14" t="str">
        <f>IF(Sales[[#This Row],[Delivery Days]]&lt;=$W$2, "Timely", "Delayed")</f>
        <v>Delayed</v>
      </c>
      <c r="U1362" t="s">
        <v>2924</v>
      </c>
    </row>
    <row r="1363" spans="1:21" x14ac:dyDescent="0.25">
      <c r="A1363" s="4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 s="6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1">
        <v>45590</v>
      </c>
      <c r="R1363" s="1">
        <v>45597</v>
      </c>
      <c r="S1363" s="14">
        <f>Sales[[#This Row],[DeliveryDate]]-Sales[[#This Row],[OrderDate]]</f>
        <v>7</v>
      </c>
      <c r="T1363" s="14" t="str">
        <f>IF(Sales[[#This Row],[Delivery Days]]&lt;=$W$2, "Timely", "Delayed")</f>
        <v>Delayed</v>
      </c>
      <c r="U1363" t="s">
        <v>2923</v>
      </c>
    </row>
    <row r="1364" spans="1:21" x14ac:dyDescent="0.25">
      <c r="A1364" s="4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 s="6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1">
        <v>45663</v>
      </c>
      <c r="R1364" s="1">
        <v>45673</v>
      </c>
      <c r="S1364" s="14">
        <f>Sales[[#This Row],[DeliveryDate]]-Sales[[#This Row],[OrderDate]]</f>
        <v>10</v>
      </c>
      <c r="T1364" s="14" t="str">
        <f>IF(Sales[[#This Row],[Delivery Days]]&lt;=$W$2, "Timely", "Delayed")</f>
        <v>Delayed</v>
      </c>
      <c r="U1364" t="s">
        <v>2924</v>
      </c>
    </row>
    <row r="1365" spans="1:21" x14ac:dyDescent="0.25">
      <c r="A1365" s="4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 s="6">
        <v>304.02</v>
      </c>
      <c r="K1365" t="s">
        <v>46</v>
      </c>
      <c r="L1365" t="s">
        <v>2941</v>
      </c>
      <c r="M1365">
        <v>0</v>
      </c>
      <c r="N1365" t="s">
        <v>1414</v>
      </c>
      <c r="O1365" t="s">
        <v>2811</v>
      </c>
      <c r="P1365">
        <v>23.15</v>
      </c>
      <c r="Q1365" s="1">
        <v>45249</v>
      </c>
      <c r="R1365" s="1">
        <v>45251</v>
      </c>
      <c r="S1365" s="14">
        <f>Sales[[#This Row],[DeliveryDate]]-Sales[[#This Row],[OrderDate]]</f>
        <v>2</v>
      </c>
      <c r="T1365" s="14" t="str">
        <f>IF(Sales[[#This Row],[Delivery Days]]&lt;=$W$2, "Timely", "Delayed")</f>
        <v>Timely</v>
      </c>
      <c r="U1365" t="s">
        <v>2925</v>
      </c>
    </row>
    <row r="1366" spans="1:21" x14ac:dyDescent="0.25">
      <c r="A1366" s="4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 s="6">
        <v>5032.5014999999994</v>
      </c>
      <c r="K1366" t="s">
        <v>43</v>
      </c>
      <c r="L1366" t="s">
        <v>2941</v>
      </c>
      <c r="M1366">
        <v>1</v>
      </c>
      <c r="N1366" t="s">
        <v>1415</v>
      </c>
      <c r="O1366" t="s">
        <v>2812</v>
      </c>
      <c r="P1366">
        <v>29.9</v>
      </c>
      <c r="Q1366" s="1">
        <v>45393</v>
      </c>
      <c r="R1366" s="1">
        <v>45399</v>
      </c>
      <c r="S1366" s="14">
        <f>Sales[[#This Row],[DeliveryDate]]-Sales[[#This Row],[OrderDate]]</f>
        <v>6</v>
      </c>
      <c r="T1366" s="14" t="str">
        <f>IF(Sales[[#This Row],[Delivery Days]]&lt;=$W$2, "Timely", "Delayed")</f>
        <v>Timely</v>
      </c>
      <c r="U1366" t="s">
        <v>2923</v>
      </c>
    </row>
    <row r="1367" spans="1:21" x14ac:dyDescent="0.25">
      <c r="A1367" s="4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 s="6">
        <v>750.00599999999997</v>
      </c>
      <c r="K1367" t="s">
        <v>47</v>
      </c>
      <c r="L1367" t="s">
        <v>2941</v>
      </c>
      <c r="M1367">
        <v>1</v>
      </c>
      <c r="N1367" t="s">
        <v>1416</v>
      </c>
      <c r="O1367" t="s">
        <v>2813</v>
      </c>
      <c r="P1367">
        <v>23.07</v>
      </c>
      <c r="Q1367" s="1">
        <v>45381</v>
      </c>
      <c r="R1367" s="1">
        <v>45388</v>
      </c>
      <c r="S1367" s="14">
        <f>Sales[[#This Row],[DeliveryDate]]-Sales[[#This Row],[OrderDate]]</f>
        <v>7</v>
      </c>
      <c r="T1367" s="14" t="str">
        <f>IF(Sales[[#This Row],[Delivery Days]]&lt;=$W$2, "Timely", "Delayed")</f>
        <v>Delayed</v>
      </c>
      <c r="U1367" t="s">
        <v>2923</v>
      </c>
    </row>
    <row r="1368" spans="1:21" x14ac:dyDescent="0.25">
      <c r="A1368" s="4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 s="6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1">
        <v>45621</v>
      </c>
      <c r="R1368" s="1">
        <v>45625</v>
      </c>
      <c r="S1368" s="14">
        <f>Sales[[#This Row],[DeliveryDate]]-Sales[[#This Row],[OrderDate]]</f>
        <v>4</v>
      </c>
      <c r="T1368" s="14" t="str">
        <f>IF(Sales[[#This Row],[Delivery Days]]&lt;=$W$2, "Timely", "Delayed")</f>
        <v>Timely</v>
      </c>
      <c r="U1368" t="s">
        <v>2924</v>
      </c>
    </row>
    <row r="1369" spans="1:21" x14ac:dyDescent="0.25">
      <c r="A1369" s="4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 s="6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1">
        <v>45663</v>
      </c>
      <c r="R1369" s="1">
        <v>45672</v>
      </c>
      <c r="S1369" s="14">
        <f>Sales[[#This Row],[DeliveryDate]]-Sales[[#This Row],[OrderDate]]</f>
        <v>9</v>
      </c>
      <c r="T1369" s="14" t="str">
        <f>IF(Sales[[#This Row],[Delivery Days]]&lt;=$W$2, "Timely", "Delayed")</f>
        <v>Delayed</v>
      </c>
      <c r="U1369" t="s">
        <v>2924</v>
      </c>
    </row>
    <row r="1370" spans="1:21" x14ac:dyDescent="0.25">
      <c r="A1370" s="4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 s="6">
        <v>2311.54</v>
      </c>
      <c r="K1370" t="s">
        <v>46</v>
      </c>
      <c r="L1370" t="s">
        <v>2941</v>
      </c>
      <c r="M1370">
        <v>0</v>
      </c>
      <c r="N1370" t="s">
        <v>1419</v>
      </c>
      <c r="O1370" t="s">
        <v>2815</v>
      </c>
      <c r="P1370">
        <v>41.73</v>
      </c>
      <c r="Q1370" s="1">
        <v>45031</v>
      </c>
      <c r="R1370" s="1">
        <v>45034</v>
      </c>
      <c r="S1370" s="14">
        <f>Sales[[#This Row],[DeliveryDate]]-Sales[[#This Row],[OrderDate]]</f>
        <v>3</v>
      </c>
      <c r="T1370" s="14" t="str">
        <f>IF(Sales[[#This Row],[Delivery Days]]&lt;=$W$2, "Timely", "Delayed")</f>
        <v>Timely</v>
      </c>
      <c r="U1370" t="s">
        <v>2926</v>
      </c>
    </row>
    <row r="1371" spans="1:21" x14ac:dyDescent="0.25">
      <c r="A1371" s="4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 s="6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1">
        <v>45329</v>
      </c>
      <c r="R1371" s="1">
        <v>45339</v>
      </c>
      <c r="S1371" s="14">
        <f>Sales[[#This Row],[DeliveryDate]]-Sales[[#This Row],[OrderDate]]</f>
        <v>10</v>
      </c>
      <c r="T1371" s="14" t="str">
        <f>IF(Sales[[#This Row],[Delivery Days]]&lt;=$W$2, "Timely", "Delayed")</f>
        <v>Delayed</v>
      </c>
      <c r="U1371" t="s">
        <v>2922</v>
      </c>
    </row>
    <row r="1372" spans="1:21" x14ac:dyDescent="0.25">
      <c r="A1372" s="4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 s="6">
        <v>893.37599999999998</v>
      </c>
      <c r="K1372" t="s">
        <v>45</v>
      </c>
      <c r="L1372" t="s">
        <v>2941</v>
      </c>
      <c r="M1372">
        <v>1</v>
      </c>
      <c r="N1372" t="s">
        <v>1421</v>
      </c>
      <c r="O1372" t="s">
        <v>2817</v>
      </c>
      <c r="P1372">
        <v>45.11</v>
      </c>
      <c r="Q1372" s="1">
        <v>45079</v>
      </c>
      <c r="R1372" s="1">
        <v>45082</v>
      </c>
      <c r="S1372" s="14">
        <f>Sales[[#This Row],[DeliveryDate]]-Sales[[#This Row],[OrderDate]]</f>
        <v>3</v>
      </c>
      <c r="T1372" s="14" t="str">
        <f>IF(Sales[[#This Row],[Delivery Days]]&lt;=$W$2, "Timely", "Delayed")</f>
        <v>Timely</v>
      </c>
      <c r="U1372" t="s">
        <v>2922</v>
      </c>
    </row>
    <row r="1373" spans="1:21" x14ac:dyDescent="0.25">
      <c r="A1373" s="4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 s="6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1">
        <v>45162</v>
      </c>
      <c r="R1373" s="1">
        <v>45171</v>
      </c>
      <c r="S1373" s="14">
        <f>Sales[[#This Row],[DeliveryDate]]-Sales[[#This Row],[OrderDate]]</f>
        <v>9</v>
      </c>
      <c r="T1373" s="14" t="str">
        <f>IF(Sales[[#This Row],[Delivery Days]]&lt;=$W$2, "Timely", "Delayed")</f>
        <v>Delayed</v>
      </c>
      <c r="U1373" t="s">
        <v>2922</v>
      </c>
    </row>
    <row r="1374" spans="1:21" x14ac:dyDescent="0.25">
      <c r="A1374" s="4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 s="6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1">
        <v>45632</v>
      </c>
      <c r="R1374" s="1">
        <v>45637</v>
      </c>
      <c r="S1374" s="14">
        <f>Sales[[#This Row],[DeliveryDate]]-Sales[[#This Row],[OrderDate]]</f>
        <v>5</v>
      </c>
      <c r="T1374" s="14" t="str">
        <f>IF(Sales[[#This Row],[Delivery Days]]&lt;=$W$2, "Timely", "Delayed")</f>
        <v>Timely</v>
      </c>
      <c r="U1374" t="s">
        <v>2923</v>
      </c>
    </row>
    <row r="1375" spans="1:21" x14ac:dyDescent="0.25">
      <c r="A1375" s="4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 s="6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1">
        <v>45268</v>
      </c>
      <c r="R1375" s="1">
        <v>45274</v>
      </c>
      <c r="S1375" s="14">
        <f>Sales[[#This Row],[DeliveryDate]]-Sales[[#This Row],[OrderDate]]</f>
        <v>6</v>
      </c>
      <c r="T1375" s="14" t="str">
        <f>IF(Sales[[#This Row],[Delivery Days]]&lt;=$W$2, "Timely", "Delayed")</f>
        <v>Timely</v>
      </c>
      <c r="U1375" t="s">
        <v>2922</v>
      </c>
    </row>
    <row r="1376" spans="1:21" x14ac:dyDescent="0.25">
      <c r="A1376" s="4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 s="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1">
        <v>45058</v>
      </c>
      <c r="R1376" s="1">
        <v>45066</v>
      </c>
      <c r="S1376" s="14">
        <f>Sales[[#This Row],[DeliveryDate]]-Sales[[#This Row],[OrderDate]]</f>
        <v>8</v>
      </c>
      <c r="T1376" s="14" t="str">
        <f>IF(Sales[[#This Row],[Delivery Days]]&lt;=$W$2, "Timely", "Delayed")</f>
        <v>Delayed</v>
      </c>
      <c r="U1376" t="s">
        <v>2923</v>
      </c>
    </row>
    <row r="1377" spans="1:21" x14ac:dyDescent="0.25">
      <c r="A1377" s="4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 s="6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1">
        <v>45771</v>
      </c>
      <c r="R1377" s="1">
        <v>45774</v>
      </c>
      <c r="S1377" s="14">
        <f>Sales[[#This Row],[DeliveryDate]]-Sales[[#This Row],[OrderDate]]</f>
        <v>3</v>
      </c>
      <c r="T1377" s="14" t="str">
        <f>IF(Sales[[#This Row],[Delivery Days]]&lt;=$W$2, "Timely", "Delayed")</f>
        <v>Timely</v>
      </c>
      <c r="U1377" t="s">
        <v>2926</v>
      </c>
    </row>
    <row r="1378" spans="1:21" x14ac:dyDescent="0.25">
      <c r="A1378" s="4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 s="6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1">
        <v>45039</v>
      </c>
      <c r="R1378" s="1">
        <v>45049</v>
      </c>
      <c r="S1378" s="14">
        <f>Sales[[#This Row],[DeliveryDate]]-Sales[[#This Row],[OrderDate]]</f>
        <v>10</v>
      </c>
      <c r="T1378" s="14" t="str">
        <f>IF(Sales[[#This Row],[Delivery Days]]&lt;=$W$2, "Timely", "Delayed")</f>
        <v>Delayed</v>
      </c>
      <c r="U1378" t="s">
        <v>2925</v>
      </c>
    </row>
    <row r="1379" spans="1:21" x14ac:dyDescent="0.25">
      <c r="A1379" s="4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 s="6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1">
        <v>44944</v>
      </c>
      <c r="R1379" s="1">
        <v>44947</v>
      </c>
      <c r="S1379" s="14">
        <f>Sales[[#This Row],[DeliveryDate]]-Sales[[#This Row],[OrderDate]]</f>
        <v>3</v>
      </c>
      <c r="T1379" s="14" t="str">
        <f>IF(Sales[[#This Row],[Delivery Days]]&lt;=$W$2, "Timely", "Delayed")</f>
        <v>Timely</v>
      </c>
      <c r="U1379" t="s">
        <v>2924</v>
      </c>
    </row>
    <row r="1380" spans="1:21" x14ac:dyDescent="0.25">
      <c r="A1380" s="4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 s="6">
        <v>1871.7594999999999</v>
      </c>
      <c r="K1380" t="s">
        <v>45</v>
      </c>
      <c r="L1380" t="s">
        <v>2941</v>
      </c>
      <c r="M1380">
        <v>0</v>
      </c>
      <c r="N1380" t="s">
        <v>1429</v>
      </c>
      <c r="O1380" t="s">
        <v>2824</v>
      </c>
      <c r="P1380">
        <v>6.81</v>
      </c>
      <c r="Q1380" s="1">
        <v>45788</v>
      </c>
      <c r="R1380" s="1">
        <v>45798</v>
      </c>
      <c r="S1380" s="14">
        <f>Sales[[#This Row],[DeliveryDate]]-Sales[[#This Row],[OrderDate]]</f>
        <v>10</v>
      </c>
      <c r="T1380" s="14" t="str">
        <f>IF(Sales[[#This Row],[Delivery Days]]&lt;=$W$2, "Timely", "Delayed")</f>
        <v>Delayed</v>
      </c>
      <c r="U1380" t="s">
        <v>2924</v>
      </c>
    </row>
    <row r="1381" spans="1:21" x14ac:dyDescent="0.25">
      <c r="A1381" s="4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 s="6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1">
        <v>45649</v>
      </c>
      <c r="R1381" s="1">
        <v>45659</v>
      </c>
      <c r="S1381" s="14">
        <f>Sales[[#This Row],[DeliveryDate]]-Sales[[#This Row],[OrderDate]]</f>
        <v>10</v>
      </c>
      <c r="T1381" s="14" t="str">
        <f>IF(Sales[[#This Row],[Delivery Days]]&lt;=$W$2, "Timely", "Delayed")</f>
        <v>Delayed</v>
      </c>
      <c r="U1381" t="s">
        <v>2926</v>
      </c>
    </row>
    <row r="1382" spans="1:21" x14ac:dyDescent="0.25">
      <c r="A1382" s="4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 s="6">
        <v>2476.8404999999998</v>
      </c>
      <c r="K1382" t="s">
        <v>46</v>
      </c>
      <c r="L1382" t="s">
        <v>2941</v>
      </c>
      <c r="M1382">
        <v>0</v>
      </c>
      <c r="N1382" t="s">
        <v>1431</v>
      </c>
      <c r="O1382" t="s">
        <v>2826</v>
      </c>
      <c r="P1382">
        <v>6.36</v>
      </c>
      <c r="Q1382" s="1">
        <v>45158</v>
      </c>
      <c r="R1382" s="1">
        <v>45166</v>
      </c>
      <c r="S1382" s="14">
        <f>Sales[[#This Row],[DeliveryDate]]-Sales[[#This Row],[OrderDate]]</f>
        <v>8</v>
      </c>
      <c r="T1382" s="14" t="str">
        <f>IF(Sales[[#This Row],[Delivery Days]]&lt;=$W$2, "Timely", "Delayed")</f>
        <v>Delayed</v>
      </c>
      <c r="U1382" t="s">
        <v>2926</v>
      </c>
    </row>
    <row r="1383" spans="1:21" x14ac:dyDescent="0.25">
      <c r="A1383" s="4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 s="6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1">
        <v>45734</v>
      </c>
      <c r="R1383" s="1">
        <v>45739</v>
      </c>
      <c r="S1383" s="14">
        <f>Sales[[#This Row],[DeliveryDate]]-Sales[[#This Row],[OrderDate]]</f>
        <v>5</v>
      </c>
      <c r="T1383" s="14" t="str">
        <f>IF(Sales[[#This Row],[Delivery Days]]&lt;=$W$2, "Timely", "Delayed")</f>
        <v>Timely</v>
      </c>
      <c r="U1383" t="s">
        <v>2925</v>
      </c>
    </row>
    <row r="1384" spans="1:21" x14ac:dyDescent="0.25">
      <c r="A1384" s="4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 s="6">
        <v>312.2</v>
      </c>
      <c r="K1384" t="s">
        <v>45</v>
      </c>
      <c r="L1384" t="s">
        <v>2941</v>
      </c>
      <c r="M1384">
        <v>0</v>
      </c>
      <c r="N1384" t="s">
        <v>1433</v>
      </c>
      <c r="O1384" t="s">
        <v>2828</v>
      </c>
      <c r="P1384">
        <v>14.03</v>
      </c>
      <c r="Q1384" s="1">
        <v>45307</v>
      </c>
      <c r="R1384" s="1">
        <v>45315</v>
      </c>
      <c r="S1384" s="14">
        <f>Sales[[#This Row],[DeliveryDate]]-Sales[[#This Row],[OrderDate]]</f>
        <v>8</v>
      </c>
      <c r="T1384" s="14" t="str">
        <f>IF(Sales[[#This Row],[Delivery Days]]&lt;=$W$2, "Timely", "Delayed")</f>
        <v>Delayed</v>
      </c>
      <c r="U1384" t="s">
        <v>2925</v>
      </c>
    </row>
    <row r="1385" spans="1:21" x14ac:dyDescent="0.25">
      <c r="A1385" s="4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 s="6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1">
        <v>45441</v>
      </c>
      <c r="R1385" s="1">
        <v>45451</v>
      </c>
      <c r="S1385" s="14">
        <f>Sales[[#This Row],[DeliveryDate]]-Sales[[#This Row],[OrderDate]]</f>
        <v>10</v>
      </c>
      <c r="T1385" s="14" t="str">
        <f>IF(Sales[[#This Row],[Delivery Days]]&lt;=$W$2, "Timely", "Delayed")</f>
        <v>Delayed</v>
      </c>
      <c r="U1385" t="s">
        <v>2922</v>
      </c>
    </row>
    <row r="1386" spans="1:21" x14ac:dyDescent="0.25">
      <c r="A1386" s="4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 s="6">
        <v>3480.5970000000002</v>
      </c>
      <c r="K1386" t="s">
        <v>45</v>
      </c>
      <c r="L1386" t="s">
        <v>2941</v>
      </c>
      <c r="M1386">
        <v>0</v>
      </c>
      <c r="N1386" t="s">
        <v>1435</v>
      </c>
      <c r="O1386" t="s">
        <v>2830</v>
      </c>
      <c r="P1386">
        <v>40.76</v>
      </c>
      <c r="Q1386" s="1">
        <v>45741</v>
      </c>
      <c r="R1386" s="1">
        <v>45743</v>
      </c>
      <c r="S1386" s="14">
        <f>Sales[[#This Row],[DeliveryDate]]-Sales[[#This Row],[OrderDate]]</f>
        <v>2</v>
      </c>
      <c r="T1386" s="14" t="str">
        <f>IF(Sales[[#This Row],[Delivery Days]]&lt;=$W$2, "Timely", "Delayed")</f>
        <v>Timely</v>
      </c>
      <c r="U1386" t="s">
        <v>2923</v>
      </c>
    </row>
    <row r="1387" spans="1:21" x14ac:dyDescent="0.25">
      <c r="A1387" s="4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 s="6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1">
        <v>45738</v>
      </c>
      <c r="R1387" s="1">
        <v>45743</v>
      </c>
      <c r="S1387" s="14">
        <f>Sales[[#This Row],[DeliveryDate]]-Sales[[#This Row],[OrderDate]]</f>
        <v>5</v>
      </c>
      <c r="T1387" s="14" t="str">
        <f>IF(Sales[[#This Row],[Delivery Days]]&lt;=$W$2, "Timely", "Delayed")</f>
        <v>Timely</v>
      </c>
      <c r="U1387" t="s">
        <v>2925</v>
      </c>
    </row>
    <row r="1388" spans="1:21" x14ac:dyDescent="0.25">
      <c r="A1388" s="4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 s="6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1">
        <v>45521</v>
      </c>
      <c r="R1388" s="1">
        <v>45528</v>
      </c>
      <c r="S1388" s="14">
        <f>Sales[[#This Row],[DeliveryDate]]-Sales[[#This Row],[OrderDate]]</f>
        <v>7</v>
      </c>
      <c r="T1388" s="14" t="str">
        <f>IF(Sales[[#This Row],[Delivery Days]]&lt;=$W$2, "Timely", "Delayed")</f>
        <v>Delayed</v>
      </c>
      <c r="U1388" t="s">
        <v>2922</v>
      </c>
    </row>
    <row r="1389" spans="1:21" x14ac:dyDescent="0.25">
      <c r="A1389" s="4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 s="6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1">
        <v>45445</v>
      </c>
      <c r="R1389" s="1">
        <v>45455</v>
      </c>
      <c r="S1389" s="14">
        <f>Sales[[#This Row],[DeliveryDate]]-Sales[[#This Row],[OrderDate]]</f>
        <v>10</v>
      </c>
      <c r="T1389" s="14" t="str">
        <f>IF(Sales[[#This Row],[Delivery Days]]&lt;=$W$2, "Timely", "Delayed")</f>
        <v>Delayed</v>
      </c>
      <c r="U1389" t="s">
        <v>2923</v>
      </c>
    </row>
    <row r="1390" spans="1:21" x14ac:dyDescent="0.25">
      <c r="A1390" s="4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 s="6">
        <v>4257.2879999999996</v>
      </c>
      <c r="K1390" t="s">
        <v>45</v>
      </c>
      <c r="L1390" t="s">
        <v>2941</v>
      </c>
      <c r="M1390">
        <v>1</v>
      </c>
      <c r="N1390" t="s">
        <v>1439</v>
      </c>
      <c r="O1390" t="s">
        <v>2834</v>
      </c>
      <c r="P1390">
        <v>45.14</v>
      </c>
      <c r="Q1390" s="1">
        <v>45016</v>
      </c>
      <c r="R1390" s="1">
        <v>45026</v>
      </c>
      <c r="S1390" s="14">
        <f>Sales[[#This Row],[DeliveryDate]]-Sales[[#This Row],[OrderDate]]</f>
        <v>10</v>
      </c>
      <c r="T1390" s="14" t="str">
        <f>IF(Sales[[#This Row],[Delivery Days]]&lt;=$W$2, "Timely", "Delayed")</f>
        <v>Delayed</v>
      </c>
      <c r="U1390" t="s">
        <v>2923</v>
      </c>
    </row>
    <row r="1391" spans="1:21" x14ac:dyDescent="0.25">
      <c r="A1391" s="4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 s="6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1">
        <v>45431</v>
      </c>
      <c r="R1391" s="1">
        <v>45435</v>
      </c>
      <c r="S1391" s="14">
        <f>Sales[[#This Row],[DeliveryDate]]-Sales[[#This Row],[OrderDate]]</f>
        <v>4</v>
      </c>
      <c r="T1391" s="14" t="str">
        <f>IF(Sales[[#This Row],[Delivery Days]]&lt;=$W$2, "Timely", "Delayed")</f>
        <v>Timely</v>
      </c>
      <c r="U1391" t="s">
        <v>2926</v>
      </c>
    </row>
    <row r="1392" spans="1:21" x14ac:dyDescent="0.25">
      <c r="A1392" s="4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 s="6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1">
        <v>44987</v>
      </c>
      <c r="R1392" s="1">
        <v>44990</v>
      </c>
      <c r="S1392" s="14">
        <f>Sales[[#This Row],[DeliveryDate]]-Sales[[#This Row],[OrderDate]]</f>
        <v>3</v>
      </c>
      <c r="T1392" s="14" t="str">
        <f>IF(Sales[[#This Row],[Delivery Days]]&lt;=$W$2, "Timely", "Delayed")</f>
        <v>Timely</v>
      </c>
      <c r="U1392" t="s">
        <v>2926</v>
      </c>
    </row>
    <row r="1393" spans="1:21" x14ac:dyDescent="0.25">
      <c r="A1393" s="4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 s="6">
        <v>2659.752</v>
      </c>
      <c r="K1393" t="s">
        <v>43</v>
      </c>
      <c r="L1393" t="s">
        <v>2941</v>
      </c>
      <c r="M1393">
        <v>0</v>
      </c>
      <c r="N1393" t="s">
        <v>1442</v>
      </c>
      <c r="O1393" t="s">
        <v>2837</v>
      </c>
      <c r="P1393">
        <v>20.92</v>
      </c>
      <c r="Q1393" s="1">
        <v>44998</v>
      </c>
      <c r="R1393" s="1">
        <v>45007</v>
      </c>
      <c r="S1393" s="14">
        <f>Sales[[#This Row],[DeliveryDate]]-Sales[[#This Row],[OrderDate]]</f>
        <v>9</v>
      </c>
      <c r="T1393" s="14" t="str">
        <f>IF(Sales[[#This Row],[Delivery Days]]&lt;=$W$2, "Timely", "Delayed")</f>
        <v>Delayed</v>
      </c>
      <c r="U1393" t="s">
        <v>2924</v>
      </c>
    </row>
    <row r="1394" spans="1:21" x14ac:dyDescent="0.25">
      <c r="A1394" s="4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 s="6">
        <v>3311.9850000000001</v>
      </c>
      <c r="K1394" t="s">
        <v>45</v>
      </c>
      <c r="L1394" t="s">
        <v>2941</v>
      </c>
      <c r="M1394">
        <v>1</v>
      </c>
      <c r="N1394" t="s">
        <v>1443</v>
      </c>
      <c r="O1394" t="s">
        <v>2838</v>
      </c>
      <c r="P1394">
        <v>42.79</v>
      </c>
      <c r="Q1394" s="1">
        <v>45763</v>
      </c>
      <c r="R1394" s="1">
        <v>45765</v>
      </c>
      <c r="S1394" s="14">
        <f>Sales[[#This Row],[DeliveryDate]]-Sales[[#This Row],[OrderDate]]</f>
        <v>2</v>
      </c>
      <c r="T1394" s="14" t="str">
        <f>IF(Sales[[#This Row],[Delivery Days]]&lt;=$W$2, "Timely", "Delayed")</f>
        <v>Timely</v>
      </c>
      <c r="U1394" t="s">
        <v>2926</v>
      </c>
    </row>
    <row r="1395" spans="1:21" x14ac:dyDescent="0.25">
      <c r="A1395" s="4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 s="6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1">
        <v>45448</v>
      </c>
      <c r="R1395" s="1">
        <v>45458</v>
      </c>
      <c r="S1395" s="14">
        <f>Sales[[#This Row],[DeliveryDate]]-Sales[[#This Row],[OrderDate]]</f>
        <v>10</v>
      </c>
      <c r="T1395" s="14" t="str">
        <f>IF(Sales[[#This Row],[Delivery Days]]&lt;=$W$2, "Timely", "Delayed")</f>
        <v>Delayed</v>
      </c>
      <c r="U1395" t="s">
        <v>2924</v>
      </c>
    </row>
    <row r="1396" spans="1:21" x14ac:dyDescent="0.25">
      <c r="A1396" s="4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 s="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1">
        <v>45536</v>
      </c>
      <c r="R1396" s="1">
        <v>45540</v>
      </c>
      <c r="S1396" s="14">
        <f>Sales[[#This Row],[DeliveryDate]]-Sales[[#This Row],[OrderDate]]</f>
        <v>4</v>
      </c>
      <c r="T1396" s="14" t="str">
        <f>IF(Sales[[#This Row],[Delivery Days]]&lt;=$W$2, "Timely", "Delayed")</f>
        <v>Timely</v>
      </c>
      <c r="U1396" t="s">
        <v>2924</v>
      </c>
    </row>
    <row r="1397" spans="1:21" x14ac:dyDescent="0.25">
      <c r="A1397" s="4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 s="6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1">
        <v>45556</v>
      </c>
      <c r="R1397" s="1">
        <v>45565</v>
      </c>
      <c r="S1397" s="14">
        <f>Sales[[#This Row],[DeliveryDate]]-Sales[[#This Row],[OrderDate]]</f>
        <v>9</v>
      </c>
      <c r="T1397" s="14" t="str">
        <f>IF(Sales[[#This Row],[Delivery Days]]&lt;=$W$2, "Timely", "Delayed")</f>
        <v>Delayed</v>
      </c>
      <c r="U1397" t="s">
        <v>2924</v>
      </c>
    </row>
    <row r="1398" spans="1:21" x14ac:dyDescent="0.25">
      <c r="A1398" s="4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 s="6">
        <v>1227.4760000000001</v>
      </c>
      <c r="K1398" t="s">
        <v>47</v>
      </c>
      <c r="L1398" t="s">
        <v>2941</v>
      </c>
      <c r="M1398">
        <v>0</v>
      </c>
      <c r="N1398" t="s">
        <v>1447</v>
      </c>
      <c r="O1398" t="s">
        <v>2840</v>
      </c>
      <c r="P1398">
        <v>19.53</v>
      </c>
      <c r="Q1398" s="1">
        <v>45668</v>
      </c>
      <c r="R1398" s="1">
        <v>45673</v>
      </c>
      <c r="S1398" s="14">
        <f>Sales[[#This Row],[DeliveryDate]]-Sales[[#This Row],[OrderDate]]</f>
        <v>5</v>
      </c>
      <c r="T1398" s="14" t="str">
        <f>IF(Sales[[#This Row],[Delivery Days]]&lt;=$W$2, "Timely", "Delayed")</f>
        <v>Timely</v>
      </c>
      <c r="U1398" t="s">
        <v>2924</v>
      </c>
    </row>
    <row r="1399" spans="1:21" x14ac:dyDescent="0.25">
      <c r="A1399" s="4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 s="6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1">
        <v>44930</v>
      </c>
      <c r="R1399" s="1">
        <v>44934</v>
      </c>
      <c r="S1399" s="14">
        <f>Sales[[#This Row],[DeliveryDate]]-Sales[[#This Row],[OrderDate]]</f>
        <v>4</v>
      </c>
      <c r="T1399" s="14" t="str">
        <f>IF(Sales[[#This Row],[Delivery Days]]&lt;=$W$2, "Timely", "Delayed")</f>
        <v>Timely</v>
      </c>
      <c r="U1399" t="s">
        <v>2926</v>
      </c>
    </row>
    <row r="1400" spans="1:21" x14ac:dyDescent="0.25">
      <c r="A1400" s="4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 s="6">
        <v>7342.9679999999989</v>
      </c>
      <c r="K1400" t="s">
        <v>46</v>
      </c>
      <c r="L1400" t="s">
        <v>2941</v>
      </c>
      <c r="M1400">
        <v>1</v>
      </c>
      <c r="N1400" t="s">
        <v>1449</v>
      </c>
      <c r="O1400" t="s">
        <v>2735</v>
      </c>
      <c r="P1400">
        <v>37.659999999999997</v>
      </c>
      <c r="Q1400" s="1">
        <v>45048</v>
      </c>
      <c r="R1400" s="1">
        <v>45051</v>
      </c>
      <c r="S1400" s="14">
        <f>Sales[[#This Row],[DeliveryDate]]-Sales[[#This Row],[OrderDate]]</f>
        <v>3</v>
      </c>
      <c r="T1400" s="14" t="str">
        <f>IF(Sales[[#This Row],[Delivery Days]]&lt;=$W$2, "Timely", "Delayed")</f>
        <v>Timely</v>
      </c>
      <c r="U1400" t="s">
        <v>2926</v>
      </c>
    </row>
    <row r="1401" spans="1:21" x14ac:dyDescent="0.25">
      <c r="A1401" s="4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 s="6">
        <v>302.65949999999998</v>
      </c>
      <c r="K1401" t="s">
        <v>47</v>
      </c>
      <c r="L1401" t="s">
        <v>2941</v>
      </c>
      <c r="M1401">
        <v>0</v>
      </c>
      <c r="N1401" t="s">
        <v>1450</v>
      </c>
      <c r="O1401" t="s">
        <v>2842</v>
      </c>
      <c r="P1401">
        <v>22.95</v>
      </c>
      <c r="Q1401" s="1">
        <v>45116</v>
      </c>
      <c r="R1401" s="1">
        <v>45121</v>
      </c>
      <c r="S1401" s="14">
        <f>Sales[[#This Row],[DeliveryDate]]-Sales[[#This Row],[OrderDate]]</f>
        <v>5</v>
      </c>
      <c r="T1401" s="14" t="str">
        <f>IF(Sales[[#This Row],[Delivery Days]]&lt;=$W$2, "Timely", "Delayed")</f>
        <v>Timely</v>
      </c>
      <c r="U1401" t="s">
        <v>2922</v>
      </c>
    </row>
    <row r="1402" spans="1:21" x14ac:dyDescent="0.25">
      <c r="A1402" s="4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 s="6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1">
        <v>45715</v>
      </c>
      <c r="R1402" s="1">
        <v>45720</v>
      </c>
      <c r="S1402" s="14">
        <f>Sales[[#This Row],[DeliveryDate]]-Sales[[#This Row],[OrderDate]]</f>
        <v>5</v>
      </c>
      <c r="T1402" s="14" t="str">
        <f>IF(Sales[[#This Row],[Delivery Days]]&lt;=$W$2, "Timely", "Delayed")</f>
        <v>Timely</v>
      </c>
      <c r="U1402" t="s">
        <v>2922</v>
      </c>
    </row>
    <row r="1403" spans="1:21" x14ac:dyDescent="0.25">
      <c r="A1403" s="4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 s="6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1">
        <v>45558</v>
      </c>
      <c r="R1403" s="1">
        <v>45564</v>
      </c>
      <c r="S1403" s="14">
        <f>Sales[[#This Row],[DeliveryDate]]-Sales[[#This Row],[OrderDate]]</f>
        <v>6</v>
      </c>
      <c r="T1403" s="14" t="str">
        <f>IF(Sales[[#This Row],[Delivery Days]]&lt;=$W$2, "Timely", "Delayed")</f>
        <v>Timely</v>
      </c>
      <c r="U1403" t="s">
        <v>2926</v>
      </c>
    </row>
    <row r="1404" spans="1:21" x14ac:dyDescent="0.25">
      <c r="A1404" s="4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 s="6">
        <v>1865.61</v>
      </c>
      <c r="K1404" t="s">
        <v>44</v>
      </c>
      <c r="L1404" t="s">
        <v>2941</v>
      </c>
      <c r="M1404">
        <v>0</v>
      </c>
      <c r="N1404" t="s">
        <v>1453</v>
      </c>
      <c r="O1404" t="s">
        <v>2844</v>
      </c>
      <c r="P1404">
        <v>14.98</v>
      </c>
      <c r="Q1404" s="1">
        <v>45830</v>
      </c>
      <c r="R1404" s="1">
        <v>45839</v>
      </c>
      <c r="S1404" s="14">
        <f>Sales[[#This Row],[DeliveryDate]]-Sales[[#This Row],[OrderDate]]</f>
        <v>9</v>
      </c>
      <c r="T1404" s="14" t="str">
        <f>IF(Sales[[#This Row],[Delivery Days]]&lt;=$W$2, "Timely", "Delayed")</f>
        <v>Delayed</v>
      </c>
      <c r="U1404" t="s">
        <v>2922</v>
      </c>
    </row>
    <row r="1405" spans="1:21" x14ac:dyDescent="0.25">
      <c r="A1405" s="4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 s="6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1">
        <v>45676</v>
      </c>
      <c r="R1405" s="1">
        <v>45685</v>
      </c>
      <c r="S1405" s="14">
        <f>Sales[[#This Row],[DeliveryDate]]-Sales[[#This Row],[OrderDate]]</f>
        <v>9</v>
      </c>
      <c r="T1405" s="14" t="str">
        <f>IF(Sales[[#This Row],[Delivery Days]]&lt;=$W$2, "Timely", "Delayed")</f>
        <v>Delayed</v>
      </c>
      <c r="U1405" t="s">
        <v>2925</v>
      </c>
    </row>
    <row r="1406" spans="1:21" x14ac:dyDescent="0.25">
      <c r="A1406" s="4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 s="6">
        <v>3467.915</v>
      </c>
      <c r="K1406" t="s">
        <v>47</v>
      </c>
      <c r="L1406" t="s">
        <v>2941</v>
      </c>
      <c r="M1406">
        <v>0</v>
      </c>
      <c r="N1406" t="s">
        <v>1455</v>
      </c>
      <c r="O1406" t="s">
        <v>2846</v>
      </c>
      <c r="P1406">
        <v>49.59</v>
      </c>
      <c r="Q1406" s="1">
        <v>45691</v>
      </c>
      <c r="R1406" s="1">
        <v>45696</v>
      </c>
      <c r="S1406" s="14">
        <f>Sales[[#This Row],[DeliveryDate]]-Sales[[#This Row],[OrderDate]]</f>
        <v>5</v>
      </c>
      <c r="T1406" s="14" t="str">
        <f>IF(Sales[[#This Row],[Delivery Days]]&lt;=$W$2, "Timely", "Delayed")</f>
        <v>Timely</v>
      </c>
      <c r="U1406" t="s">
        <v>2922</v>
      </c>
    </row>
    <row r="1407" spans="1:21" x14ac:dyDescent="0.25">
      <c r="A1407" s="4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 s="6">
        <v>4121.5499999999993</v>
      </c>
      <c r="K1407" t="s">
        <v>47</v>
      </c>
      <c r="L1407" t="s">
        <v>2941</v>
      </c>
      <c r="M1407">
        <v>1</v>
      </c>
      <c r="N1407" t="s">
        <v>1456</v>
      </c>
      <c r="O1407" t="s">
        <v>2847</v>
      </c>
      <c r="P1407">
        <v>19.37</v>
      </c>
      <c r="Q1407" s="1">
        <v>45241</v>
      </c>
      <c r="R1407" s="1">
        <v>45247</v>
      </c>
      <c r="S1407" s="14">
        <f>Sales[[#This Row],[DeliveryDate]]-Sales[[#This Row],[OrderDate]]</f>
        <v>6</v>
      </c>
      <c r="T1407" s="14" t="str">
        <f>IF(Sales[[#This Row],[Delivery Days]]&lt;=$W$2, "Timely", "Delayed")</f>
        <v>Timely</v>
      </c>
      <c r="U1407" t="s">
        <v>2922</v>
      </c>
    </row>
    <row r="1408" spans="1:21" x14ac:dyDescent="0.25">
      <c r="A1408" s="4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 s="6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1">
        <v>45420</v>
      </c>
      <c r="R1408" s="1">
        <v>45422</v>
      </c>
      <c r="S1408" s="14">
        <f>Sales[[#This Row],[DeliveryDate]]-Sales[[#This Row],[OrderDate]]</f>
        <v>2</v>
      </c>
      <c r="T1408" s="14" t="str">
        <f>IF(Sales[[#This Row],[Delivery Days]]&lt;=$W$2, "Timely", "Delayed")</f>
        <v>Timely</v>
      </c>
      <c r="U1408" t="s">
        <v>2922</v>
      </c>
    </row>
    <row r="1409" spans="1:21" x14ac:dyDescent="0.25">
      <c r="A1409" s="4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 s="6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1">
        <v>45187</v>
      </c>
      <c r="R1409" s="1">
        <v>45196</v>
      </c>
      <c r="S1409" s="14">
        <f>Sales[[#This Row],[DeliveryDate]]-Sales[[#This Row],[OrderDate]]</f>
        <v>9</v>
      </c>
      <c r="T1409" s="14" t="str">
        <f>IF(Sales[[#This Row],[Delivery Days]]&lt;=$W$2, "Timely", "Delayed")</f>
        <v>Delayed</v>
      </c>
      <c r="U1409" t="s">
        <v>2923</v>
      </c>
    </row>
    <row r="1410" spans="1:21" x14ac:dyDescent="0.25">
      <c r="A1410" s="4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 s="6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1">
        <v>45752</v>
      </c>
      <c r="R1410" s="1">
        <v>45760</v>
      </c>
      <c r="S1410" s="14">
        <f>Sales[[#This Row],[DeliveryDate]]-Sales[[#This Row],[OrderDate]]</f>
        <v>8</v>
      </c>
      <c r="T1410" s="14" t="str">
        <f>IF(Sales[[#This Row],[Delivery Days]]&lt;=$W$2, "Timely", "Delayed")</f>
        <v>Delayed</v>
      </c>
      <c r="U1410" t="s">
        <v>2925</v>
      </c>
    </row>
    <row r="1411" spans="1:21" x14ac:dyDescent="0.25">
      <c r="A1411" s="4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 s="6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1">
        <v>45182</v>
      </c>
      <c r="R1411" s="1">
        <v>45184</v>
      </c>
      <c r="S1411" s="14">
        <f>Sales[[#This Row],[DeliveryDate]]-Sales[[#This Row],[OrderDate]]</f>
        <v>2</v>
      </c>
      <c r="T1411" s="14" t="str">
        <f>IF(Sales[[#This Row],[Delivery Days]]&lt;=$W$2, "Timely", "Delayed")</f>
        <v>Timely</v>
      </c>
      <c r="U1411" t="s">
        <v>2925</v>
      </c>
    </row>
    <row r="1412" spans="1:21" x14ac:dyDescent="0.25">
      <c r="A1412" s="4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 s="6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1">
        <v>45471</v>
      </c>
      <c r="R1412" s="1">
        <v>45479</v>
      </c>
      <c r="S1412" s="14">
        <f>Sales[[#This Row],[DeliveryDate]]-Sales[[#This Row],[OrderDate]]</f>
        <v>8</v>
      </c>
      <c r="T1412" s="14" t="str">
        <f>IF(Sales[[#This Row],[Delivery Days]]&lt;=$W$2, "Timely", "Delayed")</f>
        <v>Delayed</v>
      </c>
      <c r="U1412" t="s">
        <v>2922</v>
      </c>
    </row>
    <row r="1413" spans="1:21" x14ac:dyDescent="0.25">
      <c r="A1413" s="4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 s="6">
        <v>2939.382000000001</v>
      </c>
      <c r="K1413" t="s">
        <v>47</v>
      </c>
      <c r="L1413" t="s">
        <v>2941</v>
      </c>
      <c r="M1413">
        <v>0</v>
      </c>
      <c r="N1413" t="s">
        <v>1462</v>
      </c>
      <c r="O1413" t="s">
        <v>2009</v>
      </c>
      <c r="P1413">
        <v>11.52</v>
      </c>
      <c r="Q1413" s="1">
        <v>45022</v>
      </c>
      <c r="R1413" s="1">
        <v>45024</v>
      </c>
      <c r="S1413" s="14">
        <f>Sales[[#This Row],[DeliveryDate]]-Sales[[#This Row],[OrderDate]]</f>
        <v>2</v>
      </c>
      <c r="T1413" s="14" t="str">
        <f>IF(Sales[[#This Row],[Delivery Days]]&lt;=$W$2, "Timely", "Delayed")</f>
        <v>Timely</v>
      </c>
      <c r="U1413" t="s">
        <v>2925</v>
      </c>
    </row>
    <row r="1414" spans="1:21" x14ac:dyDescent="0.25">
      <c r="A1414" s="4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 s="6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1">
        <v>45059</v>
      </c>
      <c r="R1414" s="1">
        <v>45064</v>
      </c>
      <c r="S1414" s="14">
        <f>Sales[[#This Row],[DeliveryDate]]-Sales[[#This Row],[OrderDate]]</f>
        <v>5</v>
      </c>
      <c r="T1414" s="14" t="str">
        <f>IF(Sales[[#This Row],[Delivery Days]]&lt;=$W$2, "Timely", "Delayed")</f>
        <v>Timely</v>
      </c>
      <c r="U1414" t="s">
        <v>2923</v>
      </c>
    </row>
    <row r="1415" spans="1:21" x14ac:dyDescent="0.25">
      <c r="A1415" s="4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 s="6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1">
        <v>45784</v>
      </c>
      <c r="R1415" s="1">
        <v>45792</v>
      </c>
      <c r="S1415" s="14">
        <f>Sales[[#This Row],[DeliveryDate]]-Sales[[#This Row],[OrderDate]]</f>
        <v>8</v>
      </c>
      <c r="T1415" s="14" t="str">
        <f>IF(Sales[[#This Row],[Delivery Days]]&lt;=$W$2, "Timely", "Delayed")</f>
        <v>Delayed</v>
      </c>
      <c r="U1415" t="s">
        <v>2922</v>
      </c>
    </row>
    <row r="1416" spans="1:21" x14ac:dyDescent="0.25">
      <c r="A1416" s="4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 s="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1">
        <v>45738</v>
      </c>
      <c r="R1416" s="1">
        <v>45743</v>
      </c>
      <c r="S1416" s="14">
        <f>Sales[[#This Row],[DeliveryDate]]-Sales[[#This Row],[OrderDate]]</f>
        <v>5</v>
      </c>
      <c r="T1416" s="14" t="str">
        <f>IF(Sales[[#This Row],[Delivery Days]]&lt;=$W$2, "Timely", "Delayed")</f>
        <v>Timely</v>
      </c>
      <c r="U1416" t="s">
        <v>2924</v>
      </c>
    </row>
    <row r="1417" spans="1:21" x14ac:dyDescent="0.25">
      <c r="A1417" s="4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 s="6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1">
        <v>45467</v>
      </c>
      <c r="R1417" s="1">
        <v>45475</v>
      </c>
      <c r="S1417" s="14">
        <f>Sales[[#This Row],[DeliveryDate]]-Sales[[#This Row],[OrderDate]]</f>
        <v>8</v>
      </c>
      <c r="T1417" s="14" t="str">
        <f>IF(Sales[[#This Row],[Delivery Days]]&lt;=$W$2, "Timely", "Delayed")</f>
        <v>Delayed</v>
      </c>
      <c r="U1417" t="s">
        <v>2923</v>
      </c>
    </row>
    <row r="1418" spans="1:21" x14ac:dyDescent="0.25">
      <c r="A1418" s="4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 s="6">
        <v>4084.5645</v>
      </c>
      <c r="K1418" t="s">
        <v>44</v>
      </c>
      <c r="L1418" t="s">
        <v>2941</v>
      </c>
      <c r="M1418">
        <v>0</v>
      </c>
      <c r="N1418" t="s">
        <v>1467</v>
      </c>
      <c r="O1418" t="s">
        <v>2854</v>
      </c>
      <c r="P1418">
        <v>34.76</v>
      </c>
      <c r="Q1418" s="1">
        <v>45837</v>
      </c>
      <c r="R1418" s="1">
        <v>45841</v>
      </c>
      <c r="S1418" s="14">
        <f>Sales[[#This Row],[DeliveryDate]]-Sales[[#This Row],[OrderDate]]</f>
        <v>4</v>
      </c>
      <c r="T1418" s="14" t="str">
        <f>IF(Sales[[#This Row],[Delivery Days]]&lt;=$W$2, "Timely", "Delayed")</f>
        <v>Timely</v>
      </c>
      <c r="U1418" t="s">
        <v>2926</v>
      </c>
    </row>
    <row r="1419" spans="1:21" x14ac:dyDescent="0.25">
      <c r="A1419" s="4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 s="6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1">
        <v>45383</v>
      </c>
      <c r="R1419" s="1">
        <v>45392</v>
      </c>
      <c r="S1419" s="14">
        <f>Sales[[#This Row],[DeliveryDate]]-Sales[[#This Row],[OrderDate]]</f>
        <v>9</v>
      </c>
      <c r="T1419" s="14" t="str">
        <f>IF(Sales[[#This Row],[Delivery Days]]&lt;=$W$2, "Timely", "Delayed")</f>
        <v>Delayed</v>
      </c>
      <c r="U1419" t="s">
        <v>2926</v>
      </c>
    </row>
    <row r="1420" spans="1:21" x14ac:dyDescent="0.25">
      <c r="A1420" s="4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 s="6">
        <v>1675.8665000000001</v>
      </c>
      <c r="K1420" t="s">
        <v>47</v>
      </c>
      <c r="L1420" t="s">
        <v>2941</v>
      </c>
      <c r="M1420">
        <v>0</v>
      </c>
      <c r="N1420" t="s">
        <v>1469</v>
      </c>
      <c r="O1420" t="s">
        <v>2856</v>
      </c>
      <c r="P1420">
        <v>36.049999999999997</v>
      </c>
      <c r="Q1420" s="1">
        <v>45447</v>
      </c>
      <c r="R1420" s="1">
        <v>45457</v>
      </c>
      <c r="S1420" s="14">
        <f>Sales[[#This Row],[DeliveryDate]]-Sales[[#This Row],[OrderDate]]</f>
        <v>10</v>
      </c>
      <c r="T1420" s="14" t="str">
        <f>IF(Sales[[#This Row],[Delivery Days]]&lt;=$W$2, "Timely", "Delayed")</f>
        <v>Delayed</v>
      </c>
      <c r="U1420" t="s">
        <v>2924</v>
      </c>
    </row>
    <row r="1421" spans="1:21" x14ac:dyDescent="0.25">
      <c r="A1421" s="4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 s="6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1">
        <v>45015</v>
      </c>
      <c r="R1421" s="1">
        <v>45022</v>
      </c>
      <c r="S1421" s="14">
        <f>Sales[[#This Row],[DeliveryDate]]-Sales[[#This Row],[OrderDate]]</f>
        <v>7</v>
      </c>
      <c r="T1421" s="14" t="str">
        <f>IF(Sales[[#This Row],[Delivery Days]]&lt;=$W$2, "Timely", "Delayed")</f>
        <v>Delayed</v>
      </c>
      <c r="U1421" t="s">
        <v>2922</v>
      </c>
    </row>
    <row r="1422" spans="1:21" x14ac:dyDescent="0.25">
      <c r="A1422" s="4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 s="6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1">
        <v>45742</v>
      </c>
      <c r="R1422" s="1">
        <v>45744</v>
      </c>
      <c r="S1422" s="14">
        <f>Sales[[#This Row],[DeliveryDate]]-Sales[[#This Row],[OrderDate]]</f>
        <v>2</v>
      </c>
      <c r="T1422" s="14" t="str">
        <f>IF(Sales[[#This Row],[Delivery Days]]&lt;=$W$2, "Timely", "Delayed")</f>
        <v>Timely</v>
      </c>
      <c r="U1422" t="s">
        <v>2922</v>
      </c>
    </row>
    <row r="1423" spans="1:21" x14ac:dyDescent="0.25">
      <c r="A1423" s="4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 s="6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1">
        <v>45160</v>
      </c>
      <c r="R1423" s="1">
        <v>45162</v>
      </c>
      <c r="S1423" s="14">
        <f>Sales[[#This Row],[DeliveryDate]]-Sales[[#This Row],[OrderDate]]</f>
        <v>2</v>
      </c>
      <c r="T1423" s="14" t="str">
        <f>IF(Sales[[#This Row],[Delivery Days]]&lt;=$W$2, "Timely", "Delayed")</f>
        <v>Timely</v>
      </c>
      <c r="U1423" t="s">
        <v>2926</v>
      </c>
    </row>
    <row r="1424" spans="1:21" x14ac:dyDescent="0.25">
      <c r="A1424" s="4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 s="6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1">
        <v>45398</v>
      </c>
      <c r="R1424" s="1">
        <v>45402</v>
      </c>
      <c r="S1424" s="14">
        <f>Sales[[#This Row],[DeliveryDate]]-Sales[[#This Row],[OrderDate]]</f>
        <v>4</v>
      </c>
      <c r="T1424" s="14" t="str">
        <f>IF(Sales[[#This Row],[Delivery Days]]&lt;=$W$2, "Timely", "Delayed")</f>
        <v>Timely</v>
      </c>
      <c r="U1424" t="s">
        <v>2923</v>
      </c>
    </row>
    <row r="1425" spans="1:21" x14ac:dyDescent="0.25">
      <c r="A1425" s="4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 s="6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1">
        <v>45788</v>
      </c>
      <c r="R1425" s="1">
        <v>45796</v>
      </c>
      <c r="S1425" s="14">
        <f>Sales[[#This Row],[DeliveryDate]]-Sales[[#This Row],[OrderDate]]</f>
        <v>8</v>
      </c>
      <c r="T1425" s="14" t="str">
        <f>IF(Sales[[#This Row],[Delivery Days]]&lt;=$W$2, "Timely", "Delayed")</f>
        <v>Delayed</v>
      </c>
      <c r="U1425" t="s">
        <v>2925</v>
      </c>
    </row>
    <row r="1426" spans="1:21" x14ac:dyDescent="0.25">
      <c r="A1426" s="4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 s="6">
        <v>7019.36</v>
      </c>
      <c r="K1426" t="s">
        <v>43</v>
      </c>
      <c r="L1426" t="s">
        <v>2941</v>
      </c>
      <c r="M1426">
        <v>0</v>
      </c>
      <c r="N1426" t="s">
        <v>1475</v>
      </c>
      <c r="O1426" t="s">
        <v>2860</v>
      </c>
      <c r="P1426">
        <v>6.53</v>
      </c>
      <c r="Q1426" s="1">
        <v>45271</v>
      </c>
      <c r="R1426" s="1">
        <v>45281</v>
      </c>
      <c r="S1426" s="14">
        <f>Sales[[#This Row],[DeliveryDate]]-Sales[[#This Row],[OrderDate]]</f>
        <v>10</v>
      </c>
      <c r="T1426" s="14" t="str">
        <f>IF(Sales[[#This Row],[Delivery Days]]&lt;=$W$2, "Timely", "Delayed")</f>
        <v>Delayed</v>
      </c>
      <c r="U1426" t="s">
        <v>2924</v>
      </c>
    </row>
    <row r="1427" spans="1:21" x14ac:dyDescent="0.25">
      <c r="A1427" s="4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 s="6">
        <v>1745.64</v>
      </c>
      <c r="K1427" t="s">
        <v>44</v>
      </c>
      <c r="L1427" t="s">
        <v>2941</v>
      </c>
      <c r="M1427">
        <v>0</v>
      </c>
      <c r="N1427" t="s">
        <v>1476</v>
      </c>
      <c r="O1427" t="s">
        <v>2861</v>
      </c>
      <c r="P1427">
        <v>41.3</v>
      </c>
      <c r="Q1427" s="1">
        <v>44942</v>
      </c>
      <c r="R1427" s="1">
        <v>44947</v>
      </c>
      <c r="S1427" s="14">
        <f>Sales[[#This Row],[DeliveryDate]]-Sales[[#This Row],[OrderDate]]</f>
        <v>5</v>
      </c>
      <c r="T1427" s="14" t="str">
        <f>IF(Sales[[#This Row],[Delivery Days]]&lt;=$W$2, "Timely", "Delayed")</f>
        <v>Timely</v>
      </c>
      <c r="U1427" t="s">
        <v>2924</v>
      </c>
    </row>
    <row r="1428" spans="1:21" x14ac:dyDescent="0.25">
      <c r="A1428" s="4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 s="6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1">
        <v>45056</v>
      </c>
      <c r="R1428" s="1">
        <v>45063</v>
      </c>
      <c r="S1428" s="14">
        <f>Sales[[#This Row],[DeliveryDate]]-Sales[[#This Row],[OrderDate]]</f>
        <v>7</v>
      </c>
      <c r="T1428" s="14" t="str">
        <f>IF(Sales[[#This Row],[Delivery Days]]&lt;=$W$2, "Timely", "Delayed")</f>
        <v>Delayed</v>
      </c>
      <c r="U1428" t="s">
        <v>2922</v>
      </c>
    </row>
    <row r="1429" spans="1:21" x14ac:dyDescent="0.25">
      <c r="A1429" s="4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 s="6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1">
        <v>45465</v>
      </c>
      <c r="R1429" s="1">
        <v>45472</v>
      </c>
      <c r="S1429" s="14">
        <f>Sales[[#This Row],[DeliveryDate]]-Sales[[#This Row],[OrderDate]]</f>
        <v>7</v>
      </c>
      <c r="T1429" s="14" t="str">
        <f>IF(Sales[[#This Row],[Delivery Days]]&lt;=$W$2, "Timely", "Delayed")</f>
        <v>Delayed</v>
      </c>
      <c r="U1429" t="s">
        <v>2925</v>
      </c>
    </row>
    <row r="1430" spans="1:21" x14ac:dyDescent="0.25">
      <c r="A1430" s="4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 s="6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1">
        <v>45745</v>
      </c>
      <c r="R1430" s="1">
        <v>45754</v>
      </c>
      <c r="S1430" s="14">
        <f>Sales[[#This Row],[DeliveryDate]]-Sales[[#This Row],[OrderDate]]</f>
        <v>9</v>
      </c>
      <c r="T1430" s="14" t="str">
        <f>IF(Sales[[#This Row],[Delivery Days]]&lt;=$W$2, "Timely", "Delayed")</f>
        <v>Delayed</v>
      </c>
      <c r="U1430" t="s">
        <v>2926</v>
      </c>
    </row>
    <row r="1431" spans="1:21" x14ac:dyDescent="0.25">
      <c r="A1431" s="4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 s="6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1">
        <v>45034</v>
      </c>
      <c r="R1431" s="1">
        <v>45039</v>
      </c>
      <c r="S1431" s="14">
        <f>Sales[[#This Row],[DeliveryDate]]-Sales[[#This Row],[OrderDate]]</f>
        <v>5</v>
      </c>
      <c r="T1431" s="14" t="str">
        <f>IF(Sales[[#This Row],[Delivery Days]]&lt;=$W$2, "Timely", "Delayed")</f>
        <v>Timely</v>
      </c>
      <c r="U1431" t="s">
        <v>2924</v>
      </c>
    </row>
    <row r="1432" spans="1:21" x14ac:dyDescent="0.25">
      <c r="A1432" s="4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 s="6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1">
        <v>44964</v>
      </c>
      <c r="R1432" s="1">
        <v>44966</v>
      </c>
      <c r="S1432" s="14">
        <f>Sales[[#This Row],[DeliveryDate]]-Sales[[#This Row],[OrderDate]]</f>
        <v>2</v>
      </c>
      <c r="T1432" s="14" t="str">
        <f>IF(Sales[[#This Row],[Delivery Days]]&lt;=$W$2, "Timely", "Delayed")</f>
        <v>Timely</v>
      </c>
      <c r="U1432" t="s">
        <v>2925</v>
      </c>
    </row>
    <row r="1433" spans="1:21" x14ac:dyDescent="0.25">
      <c r="A1433" s="4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 s="6">
        <v>134.52950000000001</v>
      </c>
      <c r="K1433" t="s">
        <v>47</v>
      </c>
      <c r="L1433" t="s">
        <v>2941</v>
      </c>
      <c r="M1433">
        <v>0</v>
      </c>
      <c r="N1433" t="s">
        <v>1482</v>
      </c>
      <c r="O1433" t="s">
        <v>2867</v>
      </c>
      <c r="P1433">
        <v>43.29</v>
      </c>
      <c r="Q1433" s="1">
        <v>45679</v>
      </c>
      <c r="R1433" s="1">
        <v>45682</v>
      </c>
      <c r="S1433" s="14">
        <f>Sales[[#This Row],[DeliveryDate]]-Sales[[#This Row],[OrderDate]]</f>
        <v>3</v>
      </c>
      <c r="T1433" s="14" t="str">
        <f>IF(Sales[[#This Row],[Delivery Days]]&lt;=$W$2, "Timely", "Delayed")</f>
        <v>Timely</v>
      </c>
      <c r="U1433" t="s">
        <v>2922</v>
      </c>
    </row>
    <row r="1434" spans="1:21" x14ac:dyDescent="0.25">
      <c r="A1434" s="4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 s="6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1">
        <v>45111</v>
      </c>
      <c r="R1434" s="1">
        <v>45119</v>
      </c>
      <c r="S1434" s="14">
        <f>Sales[[#This Row],[DeliveryDate]]-Sales[[#This Row],[OrderDate]]</f>
        <v>8</v>
      </c>
      <c r="T1434" s="14" t="str">
        <f>IF(Sales[[#This Row],[Delivery Days]]&lt;=$W$2, "Timely", "Delayed")</f>
        <v>Delayed</v>
      </c>
      <c r="U1434" t="s">
        <v>2922</v>
      </c>
    </row>
    <row r="1435" spans="1:21" x14ac:dyDescent="0.25">
      <c r="A1435" s="4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 s="6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1">
        <v>45138</v>
      </c>
      <c r="R1435" s="1">
        <v>45141</v>
      </c>
      <c r="S1435" s="14">
        <f>Sales[[#This Row],[DeliveryDate]]-Sales[[#This Row],[OrderDate]]</f>
        <v>3</v>
      </c>
      <c r="T1435" s="14" t="str">
        <f>IF(Sales[[#This Row],[Delivery Days]]&lt;=$W$2, "Timely", "Delayed")</f>
        <v>Timely</v>
      </c>
      <c r="U1435" t="s">
        <v>2925</v>
      </c>
    </row>
    <row r="1436" spans="1:21" x14ac:dyDescent="0.25">
      <c r="A1436" s="4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 s="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1">
        <v>45036</v>
      </c>
      <c r="R1436" s="1">
        <v>45043</v>
      </c>
      <c r="S1436" s="14">
        <f>Sales[[#This Row],[DeliveryDate]]-Sales[[#This Row],[OrderDate]]</f>
        <v>7</v>
      </c>
      <c r="T1436" s="14" t="str">
        <f>IF(Sales[[#This Row],[Delivery Days]]&lt;=$W$2, "Timely", "Delayed")</f>
        <v>Delayed</v>
      </c>
      <c r="U1436" t="s">
        <v>2924</v>
      </c>
    </row>
    <row r="1437" spans="1:21" x14ac:dyDescent="0.25">
      <c r="A1437" s="4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 s="6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1">
        <v>45573</v>
      </c>
      <c r="R1437" s="1">
        <v>45576</v>
      </c>
      <c r="S1437" s="14">
        <f>Sales[[#This Row],[DeliveryDate]]-Sales[[#This Row],[OrderDate]]</f>
        <v>3</v>
      </c>
      <c r="T1437" s="14" t="str">
        <f>IF(Sales[[#This Row],[Delivery Days]]&lt;=$W$2, "Timely", "Delayed")</f>
        <v>Timely</v>
      </c>
      <c r="U1437" t="s">
        <v>2925</v>
      </c>
    </row>
    <row r="1438" spans="1:21" x14ac:dyDescent="0.25">
      <c r="A1438" s="4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 s="6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1">
        <v>45316</v>
      </c>
      <c r="R1438" s="1">
        <v>45318</v>
      </c>
      <c r="S1438" s="14">
        <f>Sales[[#This Row],[DeliveryDate]]-Sales[[#This Row],[OrderDate]]</f>
        <v>2</v>
      </c>
      <c r="T1438" s="14" t="str">
        <f>IF(Sales[[#This Row],[Delivery Days]]&lt;=$W$2, "Timely", "Delayed")</f>
        <v>Timely</v>
      </c>
      <c r="U1438" t="s">
        <v>2922</v>
      </c>
    </row>
    <row r="1439" spans="1:21" x14ac:dyDescent="0.25">
      <c r="A1439" s="4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 s="6">
        <v>2117.2460000000001</v>
      </c>
      <c r="K1439" t="s">
        <v>45</v>
      </c>
      <c r="L1439" t="s">
        <v>2941</v>
      </c>
      <c r="M1439">
        <v>0</v>
      </c>
      <c r="N1439" t="s">
        <v>1488</v>
      </c>
      <c r="O1439" t="s">
        <v>2873</v>
      </c>
      <c r="P1439">
        <v>32.159999999999997</v>
      </c>
      <c r="Q1439" s="1">
        <v>45642</v>
      </c>
      <c r="R1439" s="1">
        <v>45651</v>
      </c>
      <c r="S1439" s="14">
        <f>Sales[[#This Row],[DeliveryDate]]-Sales[[#This Row],[OrderDate]]</f>
        <v>9</v>
      </c>
      <c r="T1439" s="14" t="str">
        <f>IF(Sales[[#This Row],[Delivery Days]]&lt;=$W$2, "Timely", "Delayed")</f>
        <v>Delayed</v>
      </c>
      <c r="U1439" t="s">
        <v>2923</v>
      </c>
    </row>
    <row r="1440" spans="1:21" x14ac:dyDescent="0.25">
      <c r="A1440" s="4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 s="6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1">
        <v>45589</v>
      </c>
      <c r="R1440" s="1">
        <v>45597</v>
      </c>
      <c r="S1440" s="14">
        <f>Sales[[#This Row],[DeliveryDate]]-Sales[[#This Row],[OrderDate]]</f>
        <v>8</v>
      </c>
      <c r="T1440" s="14" t="str">
        <f>IF(Sales[[#This Row],[Delivery Days]]&lt;=$W$2, "Timely", "Delayed")</f>
        <v>Delayed</v>
      </c>
      <c r="U1440" t="s">
        <v>2925</v>
      </c>
    </row>
    <row r="1441" spans="1:21" x14ac:dyDescent="0.25">
      <c r="A1441" s="4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 s="6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1">
        <v>45246</v>
      </c>
      <c r="R1441" s="1">
        <v>45250</v>
      </c>
      <c r="S1441" s="14">
        <f>Sales[[#This Row],[DeliveryDate]]-Sales[[#This Row],[OrderDate]]</f>
        <v>4</v>
      </c>
      <c r="T1441" s="14" t="str">
        <f>IF(Sales[[#This Row],[Delivery Days]]&lt;=$W$2, "Timely", "Delayed")</f>
        <v>Timely</v>
      </c>
      <c r="U1441" t="s">
        <v>2926</v>
      </c>
    </row>
    <row r="1442" spans="1:21" x14ac:dyDescent="0.25">
      <c r="A1442" s="4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 s="6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1">
        <v>45382</v>
      </c>
      <c r="R1442" s="1">
        <v>45390</v>
      </c>
      <c r="S1442" s="14">
        <f>Sales[[#This Row],[DeliveryDate]]-Sales[[#This Row],[OrderDate]]</f>
        <v>8</v>
      </c>
      <c r="T1442" s="14" t="str">
        <f>IF(Sales[[#This Row],[Delivery Days]]&lt;=$W$2, "Timely", "Delayed")</f>
        <v>Delayed</v>
      </c>
      <c r="U1442" t="s">
        <v>2923</v>
      </c>
    </row>
    <row r="1443" spans="1:21" x14ac:dyDescent="0.25">
      <c r="A1443" s="4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 s="6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1">
        <v>44970</v>
      </c>
      <c r="R1443" s="1">
        <v>44975</v>
      </c>
      <c r="S1443" s="14">
        <f>Sales[[#This Row],[DeliveryDate]]-Sales[[#This Row],[OrderDate]]</f>
        <v>5</v>
      </c>
      <c r="T1443" s="14" t="str">
        <f>IF(Sales[[#This Row],[Delivery Days]]&lt;=$W$2, "Timely", "Delayed")</f>
        <v>Timely</v>
      </c>
      <c r="U1443" t="s">
        <v>2922</v>
      </c>
    </row>
    <row r="1444" spans="1:21" x14ac:dyDescent="0.25">
      <c r="A1444" s="4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 s="6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1">
        <v>45189</v>
      </c>
      <c r="R1444" s="1">
        <v>45196</v>
      </c>
      <c r="S1444" s="14">
        <f>Sales[[#This Row],[DeliveryDate]]-Sales[[#This Row],[OrderDate]]</f>
        <v>7</v>
      </c>
      <c r="T1444" s="14" t="str">
        <f>IF(Sales[[#This Row],[Delivery Days]]&lt;=$W$2, "Timely", "Delayed")</f>
        <v>Delayed</v>
      </c>
      <c r="U1444" t="s">
        <v>2923</v>
      </c>
    </row>
    <row r="1445" spans="1:21" x14ac:dyDescent="0.25">
      <c r="A1445" s="4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 s="6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1">
        <v>45104</v>
      </c>
      <c r="R1445" s="1">
        <v>45114</v>
      </c>
      <c r="S1445" s="14">
        <f>Sales[[#This Row],[DeliveryDate]]-Sales[[#This Row],[OrderDate]]</f>
        <v>10</v>
      </c>
      <c r="T1445" s="14" t="str">
        <f>IF(Sales[[#This Row],[Delivery Days]]&lt;=$W$2, "Timely", "Delayed")</f>
        <v>Delayed</v>
      </c>
      <c r="U1445" t="s">
        <v>2923</v>
      </c>
    </row>
    <row r="1446" spans="1:21" x14ac:dyDescent="0.25">
      <c r="A1446" s="4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 s="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1">
        <v>45749</v>
      </c>
      <c r="R1446" s="1">
        <v>45753</v>
      </c>
      <c r="S1446" s="14">
        <f>Sales[[#This Row],[DeliveryDate]]-Sales[[#This Row],[OrderDate]]</f>
        <v>4</v>
      </c>
      <c r="T1446" s="14" t="str">
        <f>IF(Sales[[#This Row],[Delivery Days]]&lt;=$W$2, "Timely", "Delayed")</f>
        <v>Timely</v>
      </c>
      <c r="U1446" t="s">
        <v>2925</v>
      </c>
    </row>
    <row r="1447" spans="1:21" x14ac:dyDescent="0.25">
      <c r="A1447" s="4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 s="6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1">
        <v>45763</v>
      </c>
      <c r="R1447" s="1">
        <v>45773</v>
      </c>
      <c r="S1447" s="14">
        <f>Sales[[#This Row],[DeliveryDate]]-Sales[[#This Row],[OrderDate]]</f>
        <v>10</v>
      </c>
      <c r="T1447" s="14" t="str">
        <f>IF(Sales[[#This Row],[Delivery Days]]&lt;=$W$2, "Timely", "Delayed")</f>
        <v>Delayed</v>
      </c>
      <c r="U1447" t="s">
        <v>2924</v>
      </c>
    </row>
    <row r="1448" spans="1:21" x14ac:dyDescent="0.25">
      <c r="A1448" s="4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 s="6">
        <v>755.61599999999999</v>
      </c>
      <c r="K1448" t="s">
        <v>47</v>
      </c>
      <c r="L1448" t="s">
        <v>2941</v>
      </c>
      <c r="M1448">
        <v>1</v>
      </c>
      <c r="N1448" t="s">
        <v>1497</v>
      </c>
      <c r="O1448" t="s">
        <v>2880</v>
      </c>
      <c r="P1448">
        <v>17.809999999999999</v>
      </c>
      <c r="Q1448" s="1">
        <v>45482</v>
      </c>
      <c r="R1448" s="1">
        <v>45490</v>
      </c>
      <c r="S1448" s="14">
        <f>Sales[[#This Row],[DeliveryDate]]-Sales[[#This Row],[OrderDate]]</f>
        <v>8</v>
      </c>
      <c r="T1448" s="14" t="str">
        <f>IF(Sales[[#This Row],[Delivery Days]]&lt;=$W$2, "Timely", "Delayed")</f>
        <v>Delayed</v>
      </c>
      <c r="U1448" t="s">
        <v>2925</v>
      </c>
    </row>
    <row r="1449" spans="1:21" x14ac:dyDescent="0.25">
      <c r="A1449" s="4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 s="6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1">
        <v>45831</v>
      </c>
      <c r="R1449" s="1">
        <v>45841</v>
      </c>
      <c r="S1449" s="14">
        <f>Sales[[#This Row],[DeliveryDate]]-Sales[[#This Row],[OrderDate]]</f>
        <v>10</v>
      </c>
      <c r="T1449" s="14" t="str">
        <f>IF(Sales[[#This Row],[Delivery Days]]&lt;=$W$2, "Timely", "Delayed")</f>
        <v>Delayed</v>
      </c>
      <c r="U1449" t="s">
        <v>2922</v>
      </c>
    </row>
    <row r="1450" spans="1:21" x14ac:dyDescent="0.25">
      <c r="A1450" s="4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 s="6">
        <v>1837.3409999999999</v>
      </c>
      <c r="K1450" t="s">
        <v>44</v>
      </c>
      <c r="L1450" t="s">
        <v>2941</v>
      </c>
      <c r="M1450">
        <v>0</v>
      </c>
      <c r="N1450" t="s">
        <v>1499</v>
      </c>
      <c r="O1450" t="s">
        <v>2327</v>
      </c>
      <c r="P1450">
        <v>45.19</v>
      </c>
      <c r="Q1450" s="1">
        <v>45452</v>
      </c>
      <c r="R1450" s="1">
        <v>45461</v>
      </c>
      <c r="S1450" s="14">
        <f>Sales[[#This Row],[DeliveryDate]]-Sales[[#This Row],[OrderDate]]</f>
        <v>9</v>
      </c>
      <c r="T1450" s="14" t="str">
        <f>IF(Sales[[#This Row],[Delivery Days]]&lt;=$W$2, "Timely", "Delayed")</f>
        <v>Delayed</v>
      </c>
      <c r="U1450" t="s">
        <v>2922</v>
      </c>
    </row>
    <row r="1451" spans="1:21" x14ac:dyDescent="0.25">
      <c r="A1451" s="4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 s="6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1">
        <v>45261</v>
      </c>
      <c r="R1451" s="1">
        <v>45263</v>
      </c>
      <c r="S1451" s="14">
        <f>Sales[[#This Row],[DeliveryDate]]-Sales[[#This Row],[OrderDate]]</f>
        <v>2</v>
      </c>
      <c r="T1451" s="14" t="str">
        <f>IF(Sales[[#This Row],[Delivery Days]]&lt;=$W$2, "Timely", "Delayed")</f>
        <v>Timely</v>
      </c>
      <c r="U1451" t="s">
        <v>2925</v>
      </c>
    </row>
    <row r="1452" spans="1:21" x14ac:dyDescent="0.25">
      <c r="A1452" s="4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 s="6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1">
        <v>45497</v>
      </c>
      <c r="R1452" s="1">
        <v>45503</v>
      </c>
      <c r="S1452" s="14">
        <f>Sales[[#This Row],[DeliveryDate]]-Sales[[#This Row],[OrderDate]]</f>
        <v>6</v>
      </c>
      <c r="T1452" s="14" t="str">
        <f>IF(Sales[[#This Row],[Delivery Days]]&lt;=$W$2, "Timely", "Delayed")</f>
        <v>Timely</v>
      </c>
      <c r="U1452" t="s">
        <v>2926</v>
      </c>
    </row>
    <row r="1453" spans="1:21" x14ac:dyDescent="0.25">
      <c r="A1453" s="4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 s="6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1">
        <v>45028</v>
      </c>
      <c r="R1453" s="1">
        <v>45035</v>
      </c>
      <c r="S1453" s="14">
        <f>Sales[[#This Row],[DeliveryDate]]-Sales[[#This Row],[OrderDate]]</f>
        <v>7</v>
      </c>
      <c r="T1453" s="14" t="str">
        <f>IF(Sales[[#This Row],[Delivery Days]]&lt;=$W$2, "Timely", "Delayed")</f>
        <v>Delayed</v>
      </c>
      <c r="U1453" t="s">
        <v>2926</v>
      </c>
    </row>
    <row r="1454" spans="1:21" x14ac:dyDescent="0.25">
      <c r="A1454" s="4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 s="6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1">
        <v>45643</v>
      </c>
      <c r="R1454" s="1">
        <v>45652</v>
      </c>
      <c r="S1454" s="14">
        <f>Sales[[#This Row],[DeliveryDate]]-Sales[[#This Row],[OrderDate]]</f>
        <v>9</v>
      </c>
      <c r="T1454" s="14" t="str">
        <f>IF(Sales[[#This Row],[Delivery Days]]&lt;=$W$2, "Timely", "Delayed")</f>
        <v>Delayed</v>
      </c>
      <c r="U1454" t="s">
        <v>2924</v>
      </c>
    </row>
    <row r="1455" spans="1:21" x14ac:dyDescent="0.25">
      <c r="A1455" s="4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 s="6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1">
        <v>45512</v>
      </c>
      <c r="R1455" s="1">
        <v>45518</v>
      </c>
      <c r="S1455" s="14">
        <f>Sales[[#This Row],[DeliveryDate]]-Sales[[#This Row],[OrderDate]]</f>
        <v>6</v>
      </c>
      <c r="T1455" s="14" t="str">
        <f>IF(Sales[[#This Row],[Delivery Days]]&lt;=$W$2, "Timely", "Delayed")</f>
        <v>Timely</v>
      </c>
      <c r="U1455" t="s">
        <v>2923</v>
      </c>
    </row>
    <row r="1456" spans="1:21" x14ac:dyDescent="0.25">
      <c r="A1456" s="4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 s="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1">
        <v>45550</v>
      </c>
      <c r="R1456" s="1">
        <v>45557</v>
      </c>
      <c r="S1456" s="14">
        <f>Sales[[#This Row],[DeliveryDate]]-Sales[[#This Row],[OrderDate]]</f>
        <v>7</v>
      </c>
      <c r="T1456" s="14" t="str">
        <f>IF(Sales[[#This Row],[Delivery Days]]&lt;=$W$2, "Timely", "Delayed")</f>
        <v>Delayed</v>
      </c>
      <c r="U1456" t="s">
        <v>2922</v>
      </c>
    </row>
    <row r="1457" spans="1:21" x14ac:dyDescent="0.25">
      <c r="A1457" s="4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 s="6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1">
        <v>45207</v>
      </c>
      <c r="R1457" s="1">
        <v>45209</v>
      </c>
      <c r="S1457" s="14">
        <f>Sales[[#This Row],[DeliveryDate]]-Sales[[#This Row],[OrderDate]]</f>
        <v>2</v>
      </c>
      <c r="T1457" s="14" t="str">
        <f>IF(Sales[[#This Row],[Delivery Days]]&lt;=$W$2, "Timely", "Delayed")</f>
        <v>Timely</v>
      </c>
      <c r="U1457" t="s">
        <v>2923</v>
      </c>
    </row>
    <row r="1458" spans="1:21" x14ac:dyDescent="0.25">
      <c r="A1458" s="4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 s="6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1">
        <v>45800</v>
      </c>
      <c r="R1458" s="1">
        <v>45804</v>
      </c>
      <c r="S1458" s="14">
        <f>Sales[[#This Row],[DeliveryDate]]-Sales[[#This Row],[OrderDate]]</f>
        <v>4</v>
      </c>
      <c r="T1458" s="14" t="str">
        <f>IF(Sales[[#This Row],[Delivery Days]]&lt;=$W$2, "Timely", "Delayed")</f>
        <v>Timely</v>
      </c>
      <c r="U1458" t="s">
        <v>2923</v>
      </c>
    </row>
    <row r="1459" spans="1:21" x14ac:dyDescent="0.25">
      <c r="A1459" s="4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 s="6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1">
        <v>44928</v>
      </c>
      <c r="R1459" s="1">
        <v>44938</v>
      </c>
      <c r="S1459" s="14">
        <f>Sales[[#This Row],[DeliveryDate]]-Sales[[#This Row],[OrderDate]]</f>
        <v>10</v>
      </c>
      <c r="T1459" s="14" t="str">
        <f>IF(Sales[[#This Row],[Delivery Days]]&lt;=$W$2, "Timely", "Delayed")</f>
        <v>Delayed</v>
      </c>
      <c r="U1459" t="s">
        <v>2923</v>
      </c>
    </row>
    <row r="1460" spans="1:21" x14ac:dyDescent="0.25">
      <c r="A1460" s="4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 s="6">
        <v>6516.6</v>
      </c>
      <c r="K1460" t="s">
        <v>46</v>
      </c>
      <c r="L1460" t="s">
        <v>2941</v>
      </c>
      <c r="M1460">
        <v>1</v>
      </c>
      <c r="N1460" t="s">
        <v>1509</v>
      </c>
      <c r="O1460" t="s">
        <v>2887</v>
      </c>
      <c r="P1460">
        <v>33.86</v>
      </c>
      <c r="Q1460" s="1">
        <v>45218</v>
      </c>
      <c r="R1460" s="1">
        <v>45227</v>
      </c>
      <c r="S1460" s="14">
        <f>Sales[[#This Row],[DeliveryDate]]-Sales[[#This Row],[OrderDate]]</f>
        <v>9</v>
      </c>
      <c r="T1460" s="14" t="str">
        <f>IF(Sales[[#This Row],[Delivery Days]]&lt;=$W$2, "Timely", "Delayed")</f>
        <v>Delayed</v>
      </c>
      <c r="U1460" t="s">
        <v>2924</v>
      </c>
    </row>
    <row r="1461" spans="1:21" x14ac:dyDescent="0.25">
      <c r="A1461" s="4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 s="6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1">
        <v>45772</v>
      </c>
      <c r="R1461" s="1">
        <v>45778</v>
      </c>
      <c r="S1461" s="14">
        <f>Sales[[#This Row],[DeliveryDate]]-Sales[[#This Row],[OrderDate]]</f>
        <v>6</v>
      </c>
      <c r="T1461" s="14" t="str">
        <f>IF(Sales[[#This Row],[Delivery Days]]&lt;=$W$2, "Timely", "Delayed")</f>
        <v>Timely</v>
      </c>
      <c r="U1461" t="s">
        <v>2926</v>
      </c>
    </row>
    <row r="1462" spans="1:21" x14ac:dyDescent="0.25">
      <c r="A1462" s="4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 s="6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1">
        <v>45382</v>
      </c>
      <c r="R1462" s="1">
        <v>45386</v>
      </c>
      <c r="S1462" s="14">
        <f>Sales[[#This Row],[DeliveryDate]]-Sales[[#This Row],[OrderDate]]</f>
        <v>4</v>
      </c>
      <c r="T1462" s="14" t="str">
        <f>IF(Sales[[#This Row],[Delivery Days]]&lt;=$W$2, "Timely", "Delayed")</f>
        <v>Timely</v>
      </c>
      <c r="U1462" t="s">
        <v>2925</v>
      </c>
    </row>
    <row r="1463" spans="1:21" x14ac:dyDescent="0.25">
      <c r="A1463" s="4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 s="6">
        <v>2469.0120000000002</v>
      </c>
      <c r="K1463" t="s">
        <v>45</v>
      </c>
      <c r="L1463" t="s">
        <v>2941</v>
      </c>
      <c r="M1463">
        <v>1</v>
      </c>
      <c r="N1463" t="s">
        <v>1512</v>
      </c>
      <c r="O1463" t="s">
        <v>2890</v>
      </c>
      <c r="P1463">
        <v>38.46</v>
      </c>
      <c r="Q1463" s="1">
        <v>45688</v>
      </c>
      <c r="R1463" s="1">
        <v>45695</v>
      </c>
      <c r="S1463" s="14">
        <f>Sales[[#This Row],[DeliveryDate]]-Sales[[#This Row],[OrderDate]]</f>
        <v>7</v>
      </c>
      <c r="T1463" s="14" t="str">
        <f>IF(Sales[[#This Row],[Delivery Days]]&lt;=$W$2, "Timely", "Delayed")</f>
        <v>Delayed</v>
      </c>
      <c r="U1463" t="s">
        <v>2924</v>
      </c>
    </row>
    <row r="1464" spans="1:21" x14ac:dyDescent="0.25">
      <c r="A1464" s="4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 s="6">
        <v>5727.4359999999997</v>
      </c>
      <c r="K1464" t="s">
        <v>47</v>
      </c>
      <c r="L1464" t="s">
        <v>2941</v>
      </c>
      <c r="M1464">
        <v>0</v>
      </c>
      <c r="N1464" t="s">
        <v>1513</v>
      </c>
      <c r="O1464" t="s">
        <v>2891</v>
      </c>
      <c r="P1464">
        <v>25.82</v>
      </c>
      <c r="Q1464" s="1">
        <v>45743</v>
      </c>
      <c r="R1464" s="1">
        <v>45753</v>
      </c>
      <c r="S1464" s="14">
        <f>Sales[[#This Row],[DeliveryDate]]-Sales[[#This Row],[OrderDate]]</f>
        <v>10</v>
      </c>
      <c r="T1464" s="14" t="str">
        <f>IF(Sales[[#This Row],[Delivery Days]]&lt;=$W$2, "Timely", "Delayed")</f>
        <v>Delayed</v>
      </c>
      <c r="U1464" t="s">
        <v>2922</v>
      </c>
    </row>
    <row r="1465" spans="1:21" x14ac:dyDescent="0.25">
      <c r="A1465" s="4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 s="6">
        <v>1470.04</v>
      </c>
      <c r="K1465" t="s">
        <v>46</v>
      </c>
      <c r="L1465" t="s">
        <v>2941</v>
      </c>
      <c r="M1465">
        <v>1</v>
      </c>
      <c r="N1465" t="s">
        <v>1514</v>
      </c>
      <c r="O1465" t="s">
        <v>2564</v>
      </c>
      <c r="P1465">
        <v>30.18</v>
      </c>
      <c r="Q1465" s="1">
        <v>45676</v>
      </c>
      <c r="R1465" s="1">
        <v>45681</v>
      </c>
      <c r="S1465" s="14">
        <f>Sales[[#This Row],[DeliveryDate]]-Sales[[#This Row],[OrderDate]]</f>
        <v>5</v>
      </c>
      <c r="T1465" s="14" t="str">
        <f>IF(Sales[[#This Row],[Delivery Days]]&lt;=$W$2, "Timely", "Delayed")</f>
        <v>Timely</v>
      </c>
      <c r="U1465" t="s">
        <v>2925</v>
      </c>
    </row>
    <row r="1466" spans="1:21" x14ac:dyDescent="0.25">
      <c r="A1466" s="4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 s="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1">
        <v>45428</v>
      </c>
      <c r="R1466" s="1">
        <v>45433</v>
      </c>
      <c r="S1466" s="14">
        <f>Sales[[#This Row],[DeliveryDate]]-Sales[[#This Row],[OrderDate]]</f>
        <v>5</v>
      </c>
      <c r="T1466" s="14" t="str">
        <f>IF(Sales[[#This Row],[Delivery Days]]&lt;=$W$2, "Timely", "Delayed")</f>
        <v>Timely</v>
      </c>
      <c r="U1466" t="s">
        <v>2924</v>
      </c>
    </row>
    <row r="1467" spans="1:21" x14ac:dyDescent="0.25">
      <c r="A1467" s="4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 s="6">
        <v>1623.72</v>
      </c>
      <c r="K1467" t="s">
        <v>46</v>
      </c>
      <c r="L1467" t="s">
        <v>2941</v>
      </c>
      <c r="M1467">
        <v>0</v>
      </c>
      <c r="N1467" t="s">
        <v>1516</v>
      </c>
      <c r="O1467" t="s">
        <v>2893</v>
      </c>
      <c r="P1467">
        <v>31.85</v>
      </c>
      <c r="Q1467" s="1">
        <v>45173</v>
      </c>
      <c r="R1467" s="1">
        <v>45175</v>
      </c>
      <c r="S1467" s="14">
        <f>Sales[[#This Row],[DeliveryDate]]-Sales[[#This Row],[OrderDate]]</f>
        <v>2</v>
      </c>
      <c r="T1467" s="14" t="str">
        <f>IF(Sales[[#This Row],[Delivery Days]]&lt;=$W$2, "Timely", "Delayed")</f>
        <v>Timely</v>
      </c>
      <c r="U1467" t="s">
        <v>2925</v>
      </c>
    </row>
    <row r="1468" spans="1:21" x14ac:dyDescent="0.25">
      <c r="A1468" s="4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 s="6">
        <v>421.05599999999998</v>
      </c>
      <c r="K1468" t="s">
        <v>43</v>
      </c>
      <c r="L1468" t="s">
        <v>2941</v>
      </c>
      <c r="M1468">
        <v>0</v>
      </c>
      <c r="N1468" t="s">
        <v>1517</v>
      </c>
      <c r="O1468" t="s">
        <v>2894</v>
      </c>
      <c r="P1468">
        <v>31.09</v>
      </c>
      <c r="Q1468" s="1">
        <v>45277</v>
      </c>
      <c r="R1468" s="1">
        <v>45283</v>
      </c>
      <c r="S1468" s="14">
        <f>Sales[[#This Row],[DeliveryDate]]-Sales[[#This Row],[OrderDate]]</f>
        <v>6</v>
      </c>
      <c r="T1468" s="14" t="str">
        <f>IF(Sales[[#This Row],[Delivery Days]]&lt;=$W$2, "Timely", "Delayed")</f>
        <v>Timely</v>
      </c>
      <c r="U1468" t="s">
        <v>2923</v>
      </c>
    </row>
    <row r="1469" spans="1:21" x14ac:dyDescent="0.25">
      <c r="A1469" s="4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 s="6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1">
        <v>45306</v>
      </c>
      <c r="R1469" s="1">
        <v>45312</v>
      </c>
      <c r="S1469" s="14">
        <f>Sales[[#This Row],[DeliveryDate]]-Sales[[#This Row],[OrderDate]]</f>
        <v>6</v>
      </c>
      <c r="T1469" s="14" t="str">
        <f>IF(Sales[[#This Row],[Delivery Days]]&lt;=$W$2, "Timely", "Delayed")</f>
        <v>Timely</v>
      </c>
      <c r="U1469" t="s">
        <v>2925</v>
      </c>
    </row>
    <row r="1470" spans="1:21" x14ac:dyDescent="0.25">
      <c r="A1470" s="4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 s="6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1">
        <v>45645</v>
      </c>
      <c r="R1470" s="1">
        <v>45655</v>
      </c>
      <c r="S1470" s="14">
        <f>Sales[[#This Row],[DeliveryDate]]-Sales[[#This Row],[OrderDate]]</f>
        <v>10</v>
      </c>
      <c r="T1470" s="14" t="str">
        <f>IF(Sales[[#This Row],[Delivery Days]]&lt;=$W$2, "Timely", "Delayed")</f>
        <v>Delayed</v>
      </c>
      <c r="U1470" t="s">
        <v>2925</v>
      </c>
    </row>
    <row r="1471" spans="1:21" x14ac:dyDescent="0.25">
      <c r="A1471" s="4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 s="6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1">
        <v>45276</v>
      </c>
      <c r="R1471" s="1">
        <v>45278</v>
      </c>
      <c r="S1471" s="14">
        <f>Sales[[#This Row],[DeliveryDate]]-Sales[[#This Row],[OrderDate]]</f>
        <v>2</v>
      </c>
      <c r="T1471" s="14" t="str">
        <f>IF(Sales[[#This Row],[Delivery Days]]&lt;=$W$2, "Timely", "Delayed")</f>
        <v>Timely</v>
      </c>
      <c r="U1471" t="s">
        <v>2924</v>
      </c>
    </row>
    <row r="1472" spans="1:21" x14ac:dyDescent="0.25">
      <c r="A1472" s="4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 s="6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1">
        <v>45791</v>
      </c>
      <c r="R1472" s="1">
        <v>45795</v>
      </c>
      <c r="S1472" s="14">
        <f>Sales[[#This Row],[DeliveryDate]]-Sales[[#This Row],[OrderDate]]</f>
        <v>4</v>
      </c>
      <c r="T1472" s="14" t="str">
        <f>IF(Sales[[#This Row],[Delivery Days]]&lt;=$W$2, "Timely", "Delayed")</f>
        <v>Timely</v>
      </c>
      <c r="U1472" t="s">
        <v>2925</v>
      </c>
    </row>
    <row r="1473" spans="1:21" x14ac:dyDescent="0.25">
      <c r="A1473" s="4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 s="6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1">
        <v>45107</v>
      </c>
      <c r="R1473" s="1">
        <v>45109</v>
      </c>
      <c r="S1473" s="14">
        <f>Sales[[#This Row],[DeliveryDate]]-Sales[[#This Row],[OrderDate]]</f>
        <v>2</v>
      </c>
      <c r="T1473" s="14" t="str">
        <f>IF(Sales[[#This Row],[Delivery Days]]&lt;=$W$2, "Timely", "Delayed")</f>
        <v>Timely</v>
      </c>
      <c r="U1473" t="s">
        <v>2923</v>
      </c>
    </row>
    <row r="1474" spans="1:21" x14ac:dyDescent="0.25">
      <c r="A1474" s="4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 s="6">
        <v>8005.86</v>
      </c>
      <c r="K1474" t="s">
        <v>43</v>
      </c>
      <c r="L1474" t="s">
        <v>2941</v>
      </c>
      <c r="M1474">
        <v>1</v>
      </c>
      <c r="N1474" t="s">
        <v>1523</v>
      </c>
      <c r="O1474" t="s">
        <v>2898</v>
      </c>
      <c r="P1474">
        <v>20.05</v>
      </c>
      <c r="Q1474" s="1">
        <v>45838</v>
      </c>
      <c r="R1474" s="1">
        <v>45845</v>
      </c>
      <c r="S1474" s="14">
        <f>Sales[[#This Row],[DeliveryDate]]-Sales[[#This Row],[OrderDate]]</f>
        <v>7</v>
      </c>
      <c r="T1474" s="14" t="str">
        <f>IF(Sales[[#This Row],[Delivery Days]]&lt;=$W$2, "Timely", "Delayed")</f>
        <v>Delayed</v>
      </c>
      <c r="U1474" t="s">
        <v>2923</v>
      </c>
    </row>
    <row r="1475" spans="1:21" x14ac:dyDescent="0.25">
      <c r="A1475" s="4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 s="6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1">
        <v>45730</v>
      </c>
      <c r="R1475" s="1">
        <v>45738</v>
      </c>
      <c r="S1475" s="14">
        <f>Sales[[#This Row],[DeliveryDate]]-Sales[[#This Row],[OrderDate]]</f>
        <v>8</v>
      </c>
      <c r="T1475" s="14" t="str">
        <f>IF(Sales[[#This Row],[Delivery Days]]&lt;=$W$2, "Timely", "Delayed")</f>
        <v>Delayed</v>
      </c>
      <c r="U1475" t="s">
        <v>2925</v>
      </c>
    </row>
    <row r="1476" spans="1:21" x14ac:dyDescent="0.25">
      <c r="A1476" s="4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 s="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1">
        <v>45034</v>
      </c>
      <c r="R1476" s="1">
        <v>45043</v>
      </c>
      <c r="S1476" s="14">
        <f>Sales[[#This Row],[DeliveryDate]]-Sales[[#This Row],[OrderDate]]</f>
        <v>9</v>
      </c>
      <c r="T1476" s="14" t="str">
        <f>IF(Sales[[#This Row],[Delivery Days]]&lt;=$W$2, "Timely", "Delayed")</f>
        <v>Delayed</v>
      </c>
      <c r="U1476" t="s">
        <v>2923</v>
      </c>
    </row>
    <row r="1477" spans="1:21" x14ac:dyDescent="0.25">
      <c r="A1477" s="4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 s="6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1">
        <v>45546</v>
      </c>
      <c r="R1477" s="1">
        <v>45554</v>
      </c>
      <c r="S1477" s="14">
        <f>Sales[[#This Row],[DeliveryDate]]-Sales[[#This Row],[OrderDate]]</f>
        <v>8</v>
      </c>
      <c r="T1477" s="14" t="str">
        <f>IF(Sales[[#This Row],[Delivery Days]]&lt;=$W$2, "Timely", "Delayed")</f>
        <v>Delayed</v>
      </c>
      <c r="U1477" t="s">
        <v>2926</v>
      </c>
    </row>
    <row r="1478" spans="1:21" x14ac:dyDescent="0.25">
      <c r="A1478" s="4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 s="6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1">
        <v>45251</v>
      </c>
      <c r="R1478" s="1">
        <v>45258</v>
      </c>
      <c r="S1478" s="14">
        <f>Sales[[#This Row],[DeliveryDate]]-Sales[[#This Row],[OrderDate]]</f>
        <v>7</v>
      </c>
      <c r="T1478" s="14" t="str">
        <f>IF(Sales[[#This Row],[Delivery Days]]&lt;=$W$2, "Timely", "Delayed")</f>
        <v>Delayed</v>
      </c>
      <c r="U1478" t="s">
        <v>2925</v>
      </c>
    </row>
    <row r="1479" spans="1:21" x14ac:dyDescent="0.25">
      <c r="A1479" s="4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 s="6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1">
        <v>45351</v>
      </c>
      <c r="R1479" s="1">
        <v>45358</v>
      </c>
      <c r="S1479" s="14">
        <f>Sales[[#This Row],[DeliveryDate]]-Sales[[#This Row],[OrderDate]]</f>
        <v>7</v>
      </c>
      <c r="T1479" s="14" t="str">
        <f>IF(Sales[[#This Row],[Delivery Days]]&lt;=$W$2, "Timely", "Delayed")</f>
        <v>Delayed</v>
      </c>
      <c r="U1479" t="s">
        <v>2926</v>
      </c>
    </row>
    <row r="1480" spans="1:21" x14ac:dyDescent="0.25">
      <c r="A1480" s="4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 s="6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1">
        <v>45057</v>
      </c>
      <c r="R1480" s="1">
        <v>45061</v>
      </c>
      <c r="S1480" s="14">
        <f>Sales[[#This Row],[DeliveryDate]]-Sales[[#This Row],[OrderDate]]</f>
        <v>4</v>
      </c>
      <c r="T1480" s="14" t="str">
        <f>IF(Sales[[#This Row],[Delivery Days]]&lt;=$W$2, "Timely", "Delayed")</f>
        <v>Timely</v>
      </c>
      <c r="U1480" t="s">
        <v>2926</v>
      </c>
    </row>
    <row r="1481" spans="1:21" x14ac:dyDescent="0.25">
      <c r="A1481" s="4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 s="6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1">
        <v>45546</v>
      </c>
      <c r="R1481" s="1">
        <v>45555</v>
      </c>
      <c r="S1481" s="14">
        <f>Sales[[#This Row],[DeliveryDate]]-Sales[[#This Row],[OrderDate]]</f>
        <v>9</v>
      </c>
      <c r="T1481" s="14" t="str">
        <f>IF(Sales[[#This Row],[Delivery Days]]&lt;=$W$2, "Timely", "Delayed")</f>
        <v>Delayed</v>
      </c>
      <c r="U1481" t="s">
        <v>2923</v>
      </c>
    </row>
    <row r="1482" spans="1:21" x14ac:dyDescent="0.25">
      <c r="A1482" s="4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 s="6">
        <v>6960.5280000000002</v>
      </c>
      <c r="K1482" t="s">
        <v>46</v>
      </c>
      <c r="L1482" t="s">
        <v>2941</v>
      </c>
      <c r="M1482">
        <v>0</v>
      </c>
      <c r="N1482" t="s">
        <v>1531</v>
      </c>
      <c r="O1482" t="s">
        <v>2903</v>
      </c>
      <c r="P1482">
        <v>42.52</v>
      </c>
      <c r="Q1482" s="1">
        <v>45520</v>
      </c>
      <c r="R1482" s="1">
        <v>45526</v>
      </c>
      <c r="S1482" s="14">
        <f>Sales[[#This Row],[DeliveryDate]]-Sales[[#This Row],[OrderDate]]</f>
        <v>6</v>
      </c>
      <c r="T1482" s="14" t="str">
        <f>IF(Sales[[#This Row],[Delivery Days]]&lt;=$W$2, "Timely", "Delayed")</f>
        <v>Timely</v>
      </c>
      <c r="U1482" t="s">
        <v>2926</v>
      </c>
    </row>
    <row r="1483" spans="1:21" x14ac:dyDescent="0.25">
      <c r="A1483" s="4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 s="6">
        <v>909.32100000000003</v>
      </c>
      <c r="K1483" t="s">
        <v>44</v>
      </c>
      <c r="L1483" t="s">
        <v>2941</v>
      </c>
      <c r="M1483">
        <v>0</v>
      </c>
      <c r="N1483" t="s">
        <v>1532</v>
      </c>
      <c r="O1483" t="s">
        <v>2904</v>
      </c>
      <c r="P1483">
        <v>48.6</v>
      </c>
      <c r="Q1483" s="1">
        <v>45807</v>
      </c>
      <c r="R1483" s="1">
        <v>45815</v>
      </c>
      <c r="S1483" s="14">
        <f>Sales[[#This Row],[DeliveryDate]]-Sales[[#This Row],[OrderDate]]</f>
        <v>8</v>
      </c>
      <c r="T1483" s="14" t="str">
        <f>IF(Sales[[#This Row],[Delivery Days]]&lt;=$W$2, "Timely", "Delayed")</f>
        <v>Delayed</v>
      </c>
      <c r="U1483" t="s">
        <v>2924</v>
      </c>
    </row>
    <row r="1484" spans="1:21" x14ac:dyDescent="0.25">
      <c r="A1484" s="4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 s="6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1">
        <v>45160</v>
      </c>
      <c r="R1484" s="1">
        <v>45166</v>
      </c>
      <c r="S1484" s="14">
        <f>Sales[[#This Row],[DeliveryDate]]-Sales[[#This Row],[OrderDate]]</f>
        <v>6</v>
      </c>
      <c r="T1484" s="14" t="str">
        <f>IF(Sales[[#This Row],[Delivery Days]]&lt;=$W$2, "Timely", "Delayed")</f>
        <v>Timely</v>
      </c>
      <c r="U1484" t="s">
        <v>2922</v>
      </c>
    </row>
    <row r="1485" spans="1:21" x14ac:dyDescent="0.25">
      <c r="A1485" s="4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 s="6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1">
        <v>45314</v>
      </c>
      <c r="R1485" s="1">
        <v>45316</v>
      </c>
      <c r="S1485" s="14">
        <f>Sales[[#This Row],[DeliveryDate]]-Sales[[#This Row],[OrderDate]]</f>
        <v>2</v>
      </c>
      <c r="T1485" s="14" t="str">
        <f>IF(Sales[[#This Row],[Delivery Days]]&lt;=$W$2, "Timely", "Delayed")</f>
        <v>Timely</v>
      </c>
      <c r="U1485" t="s">
        <v>2922</v>
      </c>
    </row>
    <row r="1486" spans="1:21" x14ac:dyDescent="0.25">
      <c r="A1486" s="4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 s="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1">
        <v>45001</v>
      </c>
      <c r="R1486" s="1">
        <v>45008</v>
      </c>
      <c r="S1486" s="14">
        <f>Sales[[#This Row],[DeliveryDate]]-Sales[[#This Row],[OrderDate]]</f>
        <v>7</v>
      </c>
      <c r="T1486" s="14" t="str">
        <f>IF(Sales[[#This Row],[Delivery Days]]&lt;=$W$2, "Timely", "Delayed")</f>
        <v>Delayed</v>
      </c>
      <c r="U1486" t="s">
        <v>2924</v>
      </c>
    </row>
    <row r="1487" spans="1:21" x14ac:dyDescent="0.25">
      <c r="A1487" s="4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 s="6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1">
        <v>45793</v>
      </c>
      <c r="R1487" s="1">
        <v>45798</v>
      </c>
      <c r="S1487" s="14">
        <f>Sales[[#This Row],[DeliveryDate]]-Sales[[#This Row],[OrderDate]]</f>
        <v>5</v>
      </c>
      <c r="T1487" s="14" t="str">
        <f>IF(Sales[[#This Row],[Delivery Days]]&lt;=$W$2, "Timely", "Delayed")</f>
        <v>Timely</v>
      </c>
      <c r="U1487" t="s">
        <v>2923</v>
      </c>
    </row>
    <row r="1488" spans="1:21" x14ac:dyDescent="0.25">
      <c r="A1488" s="4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 s="6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1">
        <v>45069</v>
      </c>
      <c r="R1488" s="1">
        <v>45075</v>
      </c>
      <c r="S1488" s="14">
        <f>Sales[[#This Row],[DeliveryDate]]-Sales[[#This Row],[OrderDate]]</f>
        <v>6</v>
      </c>
      <c r="T1488" s="14" t="str">
        <f>IF(Sales[[#This Row],[Delivery Days]]&lt;=$W$2, "Timely", "Delayed")</f>
        <v>Timely</v>
      </c>
      <c r="U1488" t="s">
        <v>2922</v>
      </c>
    </row>
    <row r="1489" spans="1:21" x14ac:dyDescent="0.25">
      <c r="A1489" s="4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 s="6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1">
        <v>45459</v>
      </c>
      <c r="R1489" s="1">
        <v>45466</v>
      </c>
      <c r="S1489" s="14">
        <f>Sales[[#This Row],[DeliveryDate]]-Sales[[#This Row],[OrderDate]]</f>
        <v>7</v>
      </c>
      <c r="T1489" s="14" t="str">
        <f>IF(Sales[[#This Row],[Delivery Days]]&lt;=$W$2, "Timely", "Delayed")</f>
        <v>Delayed</v>
      </c>
      <c r="U1489" t="s">
        <v>2924</v>
      </c>
    </row>
    <row r="1490" spans="1:21" x14ac:dyDescent="0.25">
      <c r="A1490" s="4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 s="6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1">
        <v>45685</v>
      </c>
      <c r="R1490" s="1">
        <v>45692</v>
      </c>
      <c r="S1490" s="14">
        <f>Sales[[#This Row],[DeliveryDate]]-Sales[[#This Row],[OrderDate]]</f>
        <v>7</v>
      </c>
      <c r="T1490" s="14" t="str">
        <f>IF(Sales[[#This Row],[Delivery Days]]&lt;=$W$2, "Timely", "Delayed")</f>
        <v>Delayed</v>
      </c>
      <c r="U1490" t="s">
        <v>2925</v>
      </c>
    </row>
    <row r="1491" spans="1:21" x14ac:dyDescent="0.25">
      <c r="A1491" s="4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 s="6">
        <v>2302.56</v>
      </c>
      <c r="K1491" t="s">
        <v>47</v>
      </c>
      <c r="L1491" t="s">
        <v>2941</v>
      </c>
      <c r="M1491">
        <v>0</v>
      </c>
      <c r="N1491" t="s">
        <v>1540</v>
      </c>
      <c r="O1491" t="s">
        <v>2912</v>
      </c>
      <c r="P1491">
        <v>10.119999999999999</v>
      </c>
      <c r="Q1491" s="1">
        <v>45623</v>
      </c>
      <c r="R1491" s="1">
        <v>45633</v>
      </c>
      <c r="S1491" s="14">
        <f>Sales[[#This Row],[DeliveryDate]]-Sales[[#This Row],[OrderDate]]</f>
        <v>10</v>
      </c>
      <c r="T1491" s="14" t="str">
        <f>IF(Sales[[#This Row],[Delivery Days]]&lt;=$W$2, "Timely", "Delayed")</f>
        <v>Delayed</v>
      </c>
      <c r="U1491" t="s">
        <v>2923</v>
      </c>
    </row>
    <row r="1492" spans="1:21" x14ac:dyDescent="0.25">
      <c r="A1492" s="4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 s="6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1">
        <v>45208</v>
      </c>
      <c r="R1492" s="1">
        <v>45210</v>
      </c>
      <c r="S1492" s="14">
        <f>Sales[[#This Row],[DeliveryDate]]-Sales[[#This Row],[OrderDate]]</f>
        <v>2</v>
      </c>
      <c r="T1492" s="14" t="str">
        <f>IF(Sales[[#This Row],[Delivery Days]]&lt;=$W$2, "Timely", "Delayed")</f>
        <v>Timely</v>
      </c>
      <c r="U1492" t="s">
        <v>2925</v>
      </c>
    </row>
    <row r="1493" spans="1:21" x14ac:dyDescent="0.25">
      <c r="A1493" s="4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 s="6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1">
        <v>45494</v>
      </c>
      <c r="R1493" s="1">
        <v>45504</v>
      </c>
      <c r="S1493" s="14">
        <f>Sales[[#This Row],[DeliveryDate]]-Sales[[#This Row],[OrderDate]]</f>
        <v>10</v>
      </c>
      <c r="T1493" s="14" t="str">
        <f>IF(Sales[[#This Row],[Delivery Days]]&lt;=$W$2, "Timely", "Delayed")</f>
        <v>Delayed</v>
      </c>
      <c r="U1493" t="s">
        <v>2926</v>
      </c>
    </row>
    <row r="1494" spans="1:21" x14ac:dyDescent="0.25">
      <c r="A1494" s="4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 s="6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1">
        <v>45476</v>
      </c>
      <c r="R1494" s="1">
        <v>45480</v>
      </c>
      <c r="S1494" s="14">
        <f>Sales[[#This Row],[DeliveryDate]]-Sales[[#This Row],[OrderDate]]</f>
        <v>4</v>
      </c>
      <c r="T1494" s="14" t="str">
        <f>IF(Sales[[#This Row],[Delivery Days]]&lt;=$W$2, "Timely", "Delayed")</f>
        <v>Timely</v>
      </c>
      <c r="U1494" t="s">
        <v>2922</v>
      </c>
    </row>
    <row r="1495" spans="1:21" x14ac:dyDescent="0.25">
      <c r="A1495" s="4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 s="6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1">
        <v>45559</v>
      </c>
      <c r="R1495" s="1">
        <v>45567</v>
      </c>
      <c r="S1495" s="14">
        <f>Sales[[#This Row],[DeliveryDate]]-Sales[[#This Row],[OrderDate]]</f>
        <v>8</v>
      </c>
      <c r="T1495" s="14" t="str">
        <f>IF(Sales[[#This Row],[Delivery Days]]&lt;=$W$2, "Timely", "Delayed")</f>
        <v>Delayed</v>
      </c>
      <c r="U1495" t="s">
        <v>2926</v>
      </c>
    </row>
    <row r="1496" spans="1:21" x14ac:dyDescent="0.25">
      <c r="A1496" s="4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 s="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1">
        <v>45671</v>
      </c>
      <c r="R1496" s="1">
        <v>45678</v>
      </c>
      <c r="S1496" s="14">
        <f>Sales[[#This Row],[DeliveryDate]]-Sales[[#This Row],[OrderDate]]</f>
        <v>7</v>
      </c>
      <c r="T1496" s="14" t="str">
        <f>IF(Sales[[#This Row],[Delivery Days]]&lt;=$W$2, "Timely", "Delayed")</f>
        <v>Delayed</v>
      </c>
      <c r="U1496" t="s">
        <v>2922</v>
      </c>
    </row>
    <row r="1497" spans="1:21" x14ac:dyDescent="0.25">
      <c r="A1497" s="4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 s="6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1">
        <v>45705</v>
      </c>
      <c r="R1497" s="1">
        <v>45710</v>
      </c>
      <c r="S1497" s="14">
        <f>Sales[[#This Row],[DeliveryDate]]-Sales[[#This Row],[OrderDate]]</f>
        <v>5</v>
      </c>
      <c r="T1497" s="14" t="str">
        <f>IF(Sales[[#This Row],[Delivery Days]]&lt;=$W$2, "Timely", "Delayed")</f>
        <v>Timely</v>
      </c>
      <c r="U1497" t="s">
        <v>2926</v>
      </c>
    </row>
    <row r="1498" spans="1:21" x14ac:dyDescent="0.25">
      <c r="A1498" s="4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 s="6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1">
        <v>45302</v>
      </c>
      <c r="R1498" s="1">
        <v>45308</v>
      </c>
      <c r="S1498" s="14">
        <f>Sales[[#This Row],[DeliveryDate]]-Sales[[#This Row],[OrderDate]]</f>
        <v>6</v>
      </c>
      <c r="T1498" s="14" t="str">
        <f>IF(Sales[[#This Row],[Delivery Days]]&lt;=$W$2, "Timely", "Delayed")</f>
        <v>Timely</v>
      </c>
      <c r="U1498" t="s">
        <v>2923</v>
      </c>
    </row>
    <row r="1499" spans="1:21" x14ac:dyDescent="0.25">
      <c r="A1499" s="4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 s="6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1">
        <v>45500</v>
      </c>
      <c r="R1499" s="1">
        <v>45507</v>
      </c>
      <c r="S1499" s="14">
        <f>Sales[[#This Row],[DeliveryDate]]-Sales[[#This Row],[OrderDate]]</f>
        <v>7</v>
      </c>
      <c r="T1499" s="14" t="str">
        <f>IF(Sales[[#This Row],[Delivery Days]]&lt;=$W$2, "Timely", "Delayed")</f>
        <v>Delayed</v>
      </c>
      <c r="U1499" t="s">
        <v>2922</v>
      </c>
    </row>
    <row r="1500" spans="1:21" x14ac:dyDescent="0.25">
      <c r="A1500" s="4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 s="6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1">
        <v>45629</v>
      </c>
      <c r="R1500" s="1">
        <v>45636</v>
      </c>
      <c r="S1500" s="14">
        <f>Sales[[#This Row],[DeliveryDate]]-Sales[[#This Row],[OrderDate]]</f>
        <v>7</v>
      </c>
      <c r="T1500" s="14" t="str">
        <f>IF(Sales[[#This Row],[Delivery Days]]&lt;=$W$2, "Timely", "Delayed")</f>
        <v>Delayed</v>
      </c>
      <c r="U1500" t="s">
        <v>2925</v>
      </c>
    </row>
    <row r="1501" spans="1:21" x14ac:dyDescent="0.25">
      <c r="A1501" s="4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 s="6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1">
        <v>45786</v>
      </c>
      <c r="R1501" s="1">
        <v>45790</v>
      </c>
      <c r="S1501" s="14">
        <f>Sales[[#This Row],[DeliveryDate]]-Sales[[#This Row],[OrderDate]]</f>
        <v>4</v>
      </c>
      <c r="T1501" s="14" t="str">
        <f>IF(Sales[[#This Row],[Delivery Days]]&lt;=$W$2, "Timely", "Delayed")</f>
        <v>Timely</v>
      </c>
      <c r="U1501" t="s">
        <v>2926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EC39-1C3D-4D78-A2EA-3DA9A131853A}">
  <dimension ref="A1:U49"/>
  <sheetViews>
    <sheetView topLeftCell="J21" zoomScale="70" zoomScaleNormal="70" workbookViewId="0">
      <selection activeCell="R48" sqref="R48"/>
    </sheetView>
  </sheetViews>
  <sheetFormatPr defaultRowHeight="15" x14ac:dyDescent="0.25"/>
  <cols>
    <col min="1" max="1" width="22.85546875" bestFit="1" customWidth="1"/>
    <col min="2" max="2" width="15.7109375" bestFit="1" customWidth="1"/>
    <col min="3" max="3" width="20.5703125" bestFit="1" customWidth="1"/>
    <col min="4" max="4" width="15.28515625" bestFit="1" customWidth="1"/>
    <col min="5" max="5" width="21.7109375" bestFit="1" customWidth="1"/>
    <col min="6" max="7" width="18.28515625" bestFit="1" customWidth="1"/>
    <col min="8" max="8" width="21.7109375" bestFit="1" customWidth="1"/>
    <col min="9" max="10" width="17.7109375" bestFit="1" customWidth="1"/>
    <col min="11" max="11" width="16" bestFit="1" customWidth="1"/>
    <col min="12" max="12" width="17.7109375" bestFit="1" customWidth="1"/>
    <col min="13" max="13" width="15.7109375" bestFit="1" customWidth="1"/>
    <col min="14" max="14" width="19.28515625" bestFit="1" customWidth="1"/>
    <col min="15" max="15" width="14" bestFit="1" customWidth="1"/>
    <col min="17" max="17" width="22.85546875" bestFit="1" customWidth="1"/>
    <col min="18" max="18" width="15.28515625" bestFit="1" customWidth="1"/>
    <col min="19" max="19" width="14" bestFit="1" customWidth="1"/>
    <col min="20" max="20" width="15.7109375" bestFit="1" customWidth="1"/>
    <col min="21" max="21" width="16" bestFit="1" customWidth="1"/>
    <col min="22" max="22" width="22" bestFit="1" customWidth="1"/>
    <col min="23" max="23" width="25.140625" bestFit="1" customWidth="1"/>
    <col min="24" max="24" width="28" bestFit="1" customWidth="1"/>
    <col min="25" max="25" width="17.28515625" bestFit="1" customWidth="1"/>
    <col min="26" max="26" width="16.28515625" bestFit="1" customWidth="1"/>
  </cols>
  <sheetData>
    <row r="1" spans="1:21" x14ac:dyDescent="0.25">
      <c r="A1" s="15" t="s">
        <v>2936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1"/>
      <c r="O1" s="11"/>
      <c r="U1" s="13"/>
    </row>
    <row r="2" spans="1:2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1"/>
      <c r="O2" s="11"/>
      <c r="U2" s="13"/>
    </row>
    <row r="3" spans="1:21" x14ac:dyDescent="0.25">
      <c r="N3" s="11"/>
      <c r="O3" s="11"/>
      <c r="U3" s="13"/>
    </row>
    <row r="4" spans="1:21" x14ac:dyDescent="0.25">
      <c r="A4" s="10" t="s">
        <v>2929</v>
      </c>
      <c r="B4" s="10"/>
      <c r="D4" s="10" t="s">
        <v>2935</v>
      </c>
      <c r="E4" s="10"/>
      <c r="H4" s="10"/>
      <c r="K4" s="10" t="s">
        <v>2933</v>
      </c>
      <c r="L4" s="10"/>
      <c r="N4" s="11"/>
      <c r="O4" s="11"/>
      <c r="U4" s="13"/>
    </row>
    <row r="5" spans="1:21" x14ac:dyDescent="0.25">
      <c r="A5" s="7" t="s">
        <v>1</v>
      </c>
      <c r="B5" t="s">
        <v>2928</v>
      </c>
      <c r="D5" s="7" t="s">
        <v>2928</v>
      </c>
      <c r="E5" s="7" t="s">
        <v>2932</v>
      </c>
      <c r="K5" s="7" t="s">
        <v>2</v>
      </c>
      <c r="L5" t="s">
        <v>2928</v>
      </c>
      <c r="N5" s="11"/>
      <c r="O5" s="11"/>
      <c r="U5" s="13"/>
    </row>
    <row r="6" spans="1:21" x14ac:dyDescent="0.25">
      <c r="A6" s="8" t="s">
        <v>22</v>
      </c>
      <c r="B6" s="6">
        <v>847153.68450000032</v>
      </c>
      <c r="D6" s="7" t="s">
        <v>2930</v>
      </c>
      <c r="E6" t="s">
        <v>36</v>
      </c>
      <c r="F6" t="s">
        <v>35</v>
      </c>
      <c r="G6" t="s">
        <v>2927</v>
      </c>
      <c r="K6" s="8" t="s">
        <v>27</v>
      </c>
      <c r="L6" s="6">
        <v>622589.47800000012</v>
      </c>
      <c r="N6" s="11"/>
      <c r="O6" s="11"/>
      <c r="U6" s="13"/>
    </row>
    <row r="7" spans="1:21" x14ac:dyDescent="0.25">
      <c r="A7" s="8" t="s">
        <v>19</v>
      </c>
      <c r="B7" s="6">
        <v>883633.71800000116</v>
      </c>
      <c r="D7" s="8" t="s">
        <v>19</v>
      </c>
      <c r="E7" s="6">
        <v>417764.44900000002</v>
      </c>
      <c r="F7" s="6">
        <v>465869.26899999991</v>
      </c>
      <c r="G7" s="6">
        <v>883633.71800000116</v>
      </c>
      <c r="K7" s="8" t="s">
        <v>26</v>
      </c>
      <c r="L7" s="6">
        <v>555266.6645000003</v>
      </c>
      <c r="N7" s="11"/>
      <c r="O7" s="11"/>
      <c r="U7" s="13"/>
    </row>
    <row r="8" spans="1:21" x14ac:dyDescent="0.25">
      <c r="A8" s="8" t="s">
        <v>21</v>
      </c>
      <c r="B8" s="6">
        <v>967957.98000000068</v>
      </c>
      <c r="D8" s="8" t="s">
        <v>23</v>
      </c>
      <c r="E8" s="6">
        <v>399793.1275</v>
      </c>
      <c r="F8" s="6">
        <v>453685.7314999997</v>
      </c>
      <c r="G8" s="6">
        <v>853478.85900000017</v>
      </c>
      <c r="K8" s="8" t="s">
        <v>24</v>
      </c>
      <c r="L8" s="6">
        <v>684417.24150000012</v>
      </c>
      <c r="N8" s="11"/>
      <c r="O8" s="11"/>
      <c r="Q8" s="7" t="s">
        <v>2930</v>
      </c>
      <c r="R8" t="s">
        <v>2937</v>
      </c>
      <c r="S8" t="s">
        <v>2928</v>
      </c>
      <c r="U8" s="13"/>
    </row>
    <row r="9" spans="1:21" x14ac:dyDescent="0.25">
      <c r="A9" s="8" t="s">
        <v>20</v>
      </c>
      <c r="B9" s="6">
        <v>827768.18699999992</v>
      </c>
      <c r="D9" s="8" t="s">
        <v>20</v>
      </c>
      <c r="E9" s="6">
        <v>381137.4344999998</v>
      </c>
      <c r="F9" s="6">
        <v>446630.75250000018</v>
      </c>
      <c r="G9" s="6">
        <v>827768.18699999992</v>
      </c>
      <c r="K9" s="8" t="s">
        <v>28</v>
      </c>
      <c r="L9" s="6">
        <v>651629.39249999973</v>
      </c>
      <c r="N9" s="11"/>
      <c r="O9" s="11"/>
      <c r="Q9" s="8" t="s">
        <v>48</v>
      </c>
      <c r="R9" s="9">
        <v>419</v>
      </c>
      <c r="S9" s="9">
        <v>1238076.9235000007</v>
      </c>
      <c r="U9" s="13"/>
    </row>
    <row r="10" spans="1:21" x14ac:dyDescent="0.25">
      <c r="A10" s="8" t="s">
        <v>23</v>
      </c>
      <c r="B10" s="6">
        <v>853478.85900000017</v>
      </c>
      <c r="D10" s="8" t="s">
        <v>21</v>
      </c>
      <c r="E10" s="6">
        <v>522368.15449999995</v>
      </c>
      <c r="F10" s="6">
        <v>445589.82550000004</v>
      </c>
      <c r="G10" s="6">
        <v>967957.98000000068</v>
      </c>
      <c r="K10" s="8" t="s">
        <v>25</v>
      </c>
      <c r="L10" s="6">
        <v>497162.85099999979</v>
      </c>
      <c r="N10" s="11"/>
      <c r="O10" s="11"/>
      <c r="Q10" s="8" t="s">
        <v>2941</v>
      </c>
      <c r="R10" s="9">
        <v>370</v>
      </c>
      <c r="S10" s="9">
        <v>1074246.7715000003</v>
      </c>
      <c r="U10" s="13"/>
    </row>
    <row r="11" spans="1:21" x14ac:dyDescent="0.25">
      <c r="A11" s="8" t="s">
        <v>2927</v>
      </c>
      <c r="B11" s="9">
        <v>4379992.4284999985</v>
      </c>
      <c r="D11" s="8" t="s">
        <v>22</v>
      </c>
      <c r="E11" s="6">
        <v>474462.42750000005</v>
      </c>
      <c r="F11" s="6">
        <v>372691.25699999998</v>
      </c>
      <c r="G11" s="6">
        <v>847153.68450000032</v>
      </c>
      <c r="K11" s="8" t="s">
        <v>30</v>
      </c>
      <c r="L11" s="6">
        <v>684387.4155000007</v>
      </c>
      <c r="N11" s="11"/>
      <c r="O11" s="11"/>
      <c r="Q11" s="8" t="s">
        <v>49</v>
      </c>
      <c r="R11" s="9">
        <v>338</v>
      </c>
      <c r="S11" s="9">
        <v>989656.80550000037</v>
      </c>
      <c r="U11" s="13"/>
    </row>
    <row r="12" spans="1:21" x14ac:dyDescent="0.25">
      <c r="D12" s="8" t="s">
        <v>2927</v>
      </c>
      <c r="E12" s="9">
        <v>2195525.5929999994</v>
      </c>
      <c r="F12" s="9">
        <v>2184466.8355000019</v>
      </c>
      <c r="G12" s="9">
        <v>4379992.4284999985</v>
      </c>
      <c r="K12" s="8" t="s">
        <v>29</v>
      </c>
      <c r="L12" s="6">
        <v>684539.38550000067</v>
      </c>
      <c r="N12" s="11"/>
      <c r="O12" s="11"/>
      <c r="Q12" s="8" t="s">
        <v>50</v>
      </c>
      <c r="R12" s="9">
        <v>373</v>
      </c>
      <c r="S12" s="9">
        <v>1078011.9280000005</v>
      </c>
      <c r="U12" s="13"/>
    </row>
    <row r="13" spans="1:21" x14ac:dyDescent="0.25">
      <c r="K13" s="8" t="s">
        <v>2927</v>
      </c>
      <c r="L13" s="9">
        <v>4379992.4284999985</v>
      </c>
      <c r="N13" s="11"/>
      <c r="O13" s="11"/>
      <c r="Q13" s="8" t="s">
        <v>2927</v>
      </c>
      <c r="R13" s="9">
        <v>1500</v>
      </c>
      <c r="S13" s="9">
        <v>4379992.4284999985</v>
      </c>
      <c r="U13" s="13"/>
    </row>
    <row r="14" spans="1:21" x14ac:dyDescent="0.25">
      <c r="N14" s="11"/>
      <c r="O14" s="11"/>
      <c r="U14" s="13"/>
    </row>
    <row r="15" spans="1:21" x14ac:dyDescent="0.25">
      <c r="N15" s="11"/>
      <c r="O15" s="11"/>
      <c r="U15" s="13"/>
    </row>
    <row r="16" spans="1:21" x14ac:dyDescent="0.25">
      <c r="G16" s="7" t="s">
        <v>2928</v>
      </c>
      <c r="H16" s="7" t="s">
        <v>2932</v>
      </c>
      <c r="N16" s="11"/>
      <c r="O16" s="11"/>
      <c r="Q16" s="7" t="s">
        <v>2930</v>
      </c>
      <c r="R16" t="s">
        <v>2942</v>
      </c>
      <c r="S16" t="s">
        <v>2943</v>
      </c>
      <c r="U16" s="13"/>
    </row>
    <row r="17" spans="1:21" x14ac:dyDescent="0.25">
      <c r="G17" s="7" t="s">
        <v>1</v>
      </c>
      <c r="H17" t="s">
        <v>32</v>
      </c>
      <c r="I17" t="s">
        <v>31</v>
      </c>
      <c r="J17" t="s">
        <v>33</v>
      </c>
      <c r="K17" t="s">
        <v>34</v>
      </c>
      <c r="L17" t="s">
        <v>2927</v>
      </c>
      <c r="N17" s="11"/>
      <c r="O17" s="11"/>
      <c r="Q17" s="8" t="s">
        <v>48</v>
      </c>
      <c r="R17" s="6">
        <v>6.897374701670661E-2</v>
      </c>
      <c r="S17" s="6">
        <v>10.494033412887829</v>
      </c>
      <c r="U17" s="13"/>
    </row>
    <row r="18" spans="1:21" x14ac:dyDescent="0.25">
      <c r="G18" s="8" t="s">
        <v>22</v>
      </c>
      <c r="H18" s="6">
        <v>213134.00200000001</v>
      </c>
      <c r="I18" s="6">
        <v>189736.30850000007</v>
      </c>
      <c r="J18" s="6">
        <v>198208.49149999995</v>
      </c>
      <c r="K18" s="6">
        <v>246074.88250000007</v>
      </c>
      <c r="L18" s="6">
        <v>847153.68450000032</v>
      </c>
      <c r="N18" s="11"/>
      <c r="O18" s="11"/>
      <c r="Q18" s="8" t="s">
        <v>2941</v>
      </c>
      <c r="R18" s="6">
        <v>7.4594594594594721E-2</v>
      </c>
      <c r="S18" s="6">
        <v>10.235135135135135</v>
      </c>
      <c r="U18" s="13"/>
    </row>
    <row r="19" spans="1:21" x14ac:dyDescent="0.25">
      <c r="D19" s="10" t="s">
        <v>2931</v>
      </c>
      <c r="E19" s="10"/>
      <c r="G19" s="8" t="s">
        <v>19</v>
      </c>
      <c r="H19" s="6">
        <v>236436.01849999992</v>
      </c>
      <c r="I19" s="6">
        <v>219992.25249999994</v>
      </c>
      <c r="J19" s="6">
        <v>202893.649</v>
      </c>
      <c r="K19" s="6">
        <v>224311.79800000001</v>
      </c>
      <c r="L19" s="6">
        <v>883633.71800000116</v>
      </c>
      <c r="N19" s="11"/>
      <c r="O19" s="11"/>
      <c r="Q19" s="8" t="s">
        <v>49</v>
      </c>
      <c r="R19" s="6">
        <v>7.6479289940828518E-2</v>
      </c>
      <c r="S19" s="6">
        <v>10.665680473372781</v>
      </c>
      <c r="U19" s="13"/>
    </row>
    <row r="20" spans="1:21" x14ac:dyDescent="0.25">
      <c r="D20" s="7" t="s">
        <v>2930</v>
      </c>
      <c r="E20" t="s">
        <v>2928</v>
      </c>
      <c r="G20" s="8" t="s">
        <v>21</v>
      </c>
      <c r="H20" s="6">
        <v>195946.8175</v>
      </c>
      <c r="I20" s="6">
        <v>218722.58499999999</v>
      </c>
      <c r="J20" s="6">
        <v>286795.31350000005</v>
      </c>
      <c r="K20" s="6">
        <v>266493.26400000002</v>
      </c>
      <c r="L20" s="6">
        <v>967957.98000000068</v>
      </c>
      <c r="N20" s="11"/>
      <c r="O20" s="11"/>
      <c r="Q20" s="8" t="s">
        <v>50</v>
      </c>
      <c r="R20" s="6">
        <v>7.332439678284193E-2</v>
      </c>
      <c r="S20" s="6">
        <v>10.260053619302949</v>
      </c>
      <c r="U20" s="13"/>
    </row>
    <row r="21" spans="1:21" x14ac:dyDescent="0.25">
      <c r="D21" s="8" t="s">
        <v>36</v>
      </c>
      <c r="E21" s="6">
        <v>2195525.5929999994</v>
      </c>
      <c r="G21" s="8" t="s">
        <v>20</v>
      </c>
      <c r="H21" s="6">
        <v>223516.71949999998</v>
      </c>
      <c r="I21" s="6">
        <v>216057.75549999997</v>
      </c>
      <c r="J21" s="6">
        <v>186140.60850000003</v>
      </c>
      <c r="K21" s="6">
        <v>202053.10349999991</v>
      </c>
      <c r="L21" s="6">
        <v>827768.18699999992</v>
      </c>
      <c r="N21" s="11"/>
      <c r="O21" s="11"/>
      <c r="Q21" s="8" t="s">
        <v>2927</v>
      </c>
      <c r="R21" s="9">
        <v>7.3133333333332759E-2</v>
      </c>
      <c r="S21" s="9">
        <v>10.410666666666666</v>
      </c>
      <c r="U21" s="13"/>
    </row>
    <row r="22" spans="1:21" x14ac:dyDescent="0.25">
      <c r="D22" s="8" t="s">
        <v>35</v>
      </c>
      <c r="E22" s="6">
        <v>2184466.8355000019</v>
      </c>
      <c r="G22" s="8" t="s">
        <v>23</v>
      </c>
      <c r="H22" s="6">
        <v>219479.04650000005</v>
      </c>
      <c r="I22" s="6">
        <v>185140.25099999993</v>
      </c>
      <c r="J22" s="6">
        <v>182266.74</v>
      </c>
      <c r="K22" s="6">
        <v>266592.82149999996</v>
      </c>
      <c r="L22" s="6">
        <v>853478.85900000017</v>
      </c>
      <c r="N22" s="11"/>
      <c r="O22" s="11"/>
      <c r="U22" s="13"/>
    </row>
    <row r="23" spans="1:21" x14ac:dyDescent="0.25">
      <c r="D23" s="8" t="s">
        <v>2927</v>
      </c>
      <c r="E23" s="9">
        <v>4379992.4284999985</v>
      </c>
      <c r="G23" s="8" t="s">
        <v>2927</v>
      </c>
      <c r="H23" s="9">
        <v>1088512.6040000001</v>
      </c>
      <c r="I23" s="9">
        <v>1029649.1525000005</v>
      </c>
      <c r="J23" s="9">
        <v>1056304.8025000007</v>
      </c>
      <c r="K23" s="9">
        <v>1205525.8694999996</v>
      </c>
      <c r="L23" s="9">
        <v>4379992.4284999985</v>
      </c>
      <c r="N23" s="11"/>
      <c r="O23" s="11"/>
      <c r="P23" s="13"/>
      <c r="Q23" s="13"/>
      <c r="R23" s="13"/>
      <c r="S23" s="13"/>
      <c r="T23" s="13"/>
      <c r="U23" s="13"/>
    </row>
    <row r="24" spans="1:21" x14ac:dyDescent="0.25">
      <c r="N24" s="11"/>
      <c r="O24" s="11"/>
      <c r="P24" s="13"/>
      <c r="Q24" s="13"/>
      <c r="R24" s="13"/>
      <c r="S24" s="13"/>
      <c r="T24" s="13"/>
      <c r="U24" s="13"/>
    </row>
    <row r="25" spans="1:2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3"/>
      <c r="Q25" s="13"/>
      <c r="R25" s="13"/>
      <c r="S25" s="13"/>
      <c r="T25" s="13"/>
      <c r="U25" s="13"/>
    </row>
    <row r="26" spans="1:2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21" x14ac:dyDescent="0.25">
      <c r="J27" s="13"/>
      <c r="K27" s="13"/>
    </row>
    <row r="28" spans="1:21" x14ac:dyDescent="0.25">
      <c r="J28" s="13"/>
      <c r="K28" s="13"/>
      <c r="L28" s="7" t="s">
        <v>2930</v>
      </c>
      <c r="M28" t="s">
        <v>2937</v>
      </c>
      <c r="N28" t="s">
        <v>2948</v>
      </c>
      <c r="O28" t="s">
        <v>2949</v>
      </c>
      <c r="Q28" s="7" t="s">
        <v>2930</v>
      </c>
      <c r="R28" t="s">
        <v>2946</v>
      </c>
      <c r="S28" t="s">
        <v>2945</v>
      </c>
      <c r="T28" t="s">
        <v>2937</v>
      </c>
    </row>
    <row r="29" spans="1:21" x14ac:dyDescent="0.25">
      <c r="F29" s="10" t="s">
        <v>2940</v>
      </c>
      <c r="G29" s="10"/>
      <c r="J29" s="13"/>
      <c r="K29" s="13"/>
      <c r="L29" s="8" t="s">
        <v>22</v>
      </c>
      <c r="M29" s="14">
        <v>301</v>
      </c>
      <c r="N29" s="14">
        <v>128</v>
      </c>
      <c r="O29" s="12">
        <v>0.42524916943521596</v>
      </c>
      <c r="Q29" s="8" t="s">
        <v>22</v>
      </c>
      <c r="R29" s="6">
        <v>5.8770764119601333</v>
      </c>
      <c r="S29" s="9">
        <v>10</v>
      </c>
      <c r="T29" s="9">
        <v>301</v>
      </c>
    </row>
    <row r="30" spans="1:21" x14ac:dyDescent="0.25">
      <c r="A30" s="7" t="s">
        <v>2930</v>
      </c>
      <c r="B30" t="s">
        <v>2937</v>
      </c>
      <c r="C30" t="s">
        <v>2938</v>
      </c>
      <c r="D30" t="s">
        <v>2939</v>
      </c>
      <c r="F30" s="7" t="s">
        <v>2934</v>
      </c>
      <c r="G30" t="s">
        <v>2937</v>
      </c>
      <c r="H30" t="s">
        <v>2928</v>
      </c>
      <c r="J30" s="13"/>
      <c r="K30" s="13"/>
      <c r="L30" s="8" t="s">
        <v>19</v>
      </c>
      <c r="M30" s="14">
        <v>311</v>
      </c>
      <c r="N30" s="14">
        <v>138</v>
      </c>
      <c r="O30" s="12">
        <v>0.4437299035369775</v>
      </c>
      <c r="Q30" s="8" t="s">
        <v>19</v>
      </c>
      <c r="R30" s="6">
        <v>5.996784565916399</v>
      </c>
      <c r="S30" s="9">
        <v>10</v>
      </c>
      <c r="T30" s="9">
        <v>311</v>
      </c>
    </row>
    <row r="31" spans="1:21" x14ac:dyDescent="0.25">
      <c r="A31" s="8" t="s">
        <v>38</v>
      </c>
      <c r="B31" s="9">
        <v>259</v>
      </c>
      <c r="C31" s="9">
        <v>64</v>
      </c>
      <c r="D31" s="12">
        <v>0.24710424710424711</v>
      </c>
      <c r="F31" s="8" t="s">
        <v>38</v>
      </c>
      <c r="G31" s="6">
        <v>259</v>
      </c>
      <c r="H31" s="6">
        <v>786165.8400000002</v>
      </c>
      <c r="J31" s="13"/>
      <c r="K31" s="13"/>
      <c r="L31" s="8" t="s">
        <v>21</v>
      </c>
      <c r="M31" s="14">
        <v>309</v>
      </c>
      <c r="N31" s="14">
        <v>163</v>
      </c>
      <c r="O31" s="12">
        <v>0.52750809061488668</v>
      </c>
      <c r="Q31" s="8" t="s">
        <v>21</v>
      </c>
      <c r="R31" s="6">
        <v>6.3851132686084142</v>
      </c>
      <c r="S31" s="9">
        <v>10</v>
      </c>
      <c r="T31" s="9">
        <v>309</v>
      </c>
    </row>
    <row r="32" spans="1:21" x14ac:dyDescent="0.25">
      <c r="A32" s="8" t="s">
        <v>42</v>
      </c>
      <c r="B32" s="9">
        <v>243</v>
      </c>
      <c r="C32" s="9">
        <v>64</v>
      </c>
      <c r="D32" s="12">
        <v>0.26337448559670784</v>
      </c>
      <c r="F32" s="8" t="s">
        <v>42</v>
      </c>
      <c r="G32" s="6">
        <v>243</v>
      </c>
      <c r="H32" s="6">
        <v>796780.52149999957</v>
      </c>
      <c r="J32" s="13"/>
      <c r="K32" s="13"/>
      <c r="L32" s="8" t="s">
        <v>20</v>
      </c>
      <c r="M32" s="14">
        <v>295</v>
      </c>
      <c r="N32" s="14">
        <v>130</v>
      </c>
      <c r="O32" s="12">
        <v>0.44067796610169491</v>
      </c>
      <c r="Q32" s="8" t="s">
        <v>20</v>
      </c>
      <c r="R32" s="6">
        <v>5.9322033898305087</v>
      </c>
      <c r="S32" s="9">
        <v>10</v>
      </c>
      <c r="T32" s="9">
        <v>295</v>
      </c>
    </row>
    <row r="33" spans="1:20" x14ac:dyDescent="0.25">
      <c r="A33" s="8" t="s">
        <v>40</v>
      </c>
      <c r="B33" s="9">
        <v>270</v>
      </c>
      <c r="C33" s="9">
        <v>76</v>
      </c>
      <c r="D33" s="12">
        <v>0.2814814814814815</v>
      </c>
      <c r="F33" s="8" t="s">
        <v>40</v>
      </c>
      <c r="G33" s="6">
        <v>270</v>
      </c>
      <c r="H33" s="6">
        <v>707166.71600000071</v>
      </c>
      <c r="J33" s="13"/>
      <c r="K33" s="13"/>
      <c r="L33" s="8" t="s">
        <v>23</v>
      </c>
      <c r="M33" s="14">
        <v>284</v>
      </c>
      <c r="N33" s="14">
        <v>122</v>
      </c>
      <c r="O33" s="12">
        <v>0.42957746478873238</v>
      </c>
      <c r="Q33" s="8" t="s">
        <v>23</v>
      </c>
      <c r="R33" s="6">
        <v>6.01056338028169</v>
      </c>
      <c r="S33" s="9">
        <v>10</v>
      </c>
      <c r="T33" s="9">
        <v>284</v>
      </c>
    </row>
    <row r="34" spans="1:20" x14ac:dyDescent="0.25">
      <c r="A34" s="8" t="s">
        <v>41</v>
      </c>
      <c r="B34" s="9">
        <v>249</v>
      </c>
      <c r="C34" s="9">
        <v>62</v>
      </c>
      <c r="D34" s="12">
        <v>0.24899598393574296</v>
      </c>
      <c r="F34" s="8" t="s">
        <v>41</v>
      </c>
      <c r="G34" s="6">
        <v>249</v>
      </c>
      <c r="H34" s="6">
        <v>676568.2495000005</v>
      </c>
      <c r="J34" s="13"/>
      <c r="K34" s="13"/>
      <c r="L34" s="8" t="s">
        <v>2927</v>
      </c>
      <c r="M34" s="14">
        <v>1500</v>
      </c>
      <c r="N34" s="14">
        <v>681</v>
      </c>
      <c r="O34" s="12">
        <v>0.45400000000000001</v>
      </c>
      <c r="Q34" s="8" t="s">
        <v>2927</v>
      </c>
      <c r="R34" s="9">
        <v>6.0426666666666664</v>
      </c>
      <c r="S34" s="9">
        <v>10</v>
      </c>
      <c r="T34" s="9">
        <v>1500</v>
      </c>
    </row>
    <row r="35" spans="1:20" x14ac:dyDescent="0.25">
      <c r="A35" s="8" t="s">
        <v>37</v>
      </c>
      <c r="B35" s="9">
        <v>236</v>
      </c>
      <c r="C35" s="9">
        <v>51</v>
      </c>
      <c r="D35" s="12">
        <v>0.21610169491525424</v>
      </c>
      <c r="F35" s="8" t="s">
        <v>37</v>
      </c>
      <c r="G35" s="6">
        <v>236</v>
      </c>
      <c r="H35" s="6">
        <v>698669.57950000011</v>
      </c>
      <c r="J35" s="13"/>
      <c r="K35" s="13"/>
    </row>
    <row r="36" spans="1:20" x14ac:dyDescent="0.25">
      <c r="A36" s="8" t="s">
        <v>39</v>
      </c>
      <c r="B36" s="9">
        <v>243</v>
      </c>
      <c r="C36" s="9">
        <v>55</v>
      </c>
      <c r="D36" s="12">
        <v>0.22633744855967078</v>
      </c>
      <c r="F36" s="8" t="s">
        <v>39</v>
      </c>
      <c r="G36" s="6">
        <v>243</v>
      </c>
      <c r="H36" s="6">
        <v>714641.52200000035</v>
      </c>
      <c r="J36" s="13"/>
      <c r="K36" s="13"/>
      <c r="L36" s="7" t="s">
        <v>2930</v>
      </c>
      <c r="M36" t="s">
        <v>2937</v>
      </c>
      <c r="N36" t="s">
        <v>2938</v>
      </c>
      <c r="O36" t="s">
        <v>2939</v>
      </c>
      <c r="Q36" s="7" t="s">
        <v>2930</v>
      </c>
      <c r="R36" t="s">
        <v>2939</v>
      </c>
      <c r="S36" t="s">
        <v>2949</v>
      </c>
    </row>
    <row r="37" spans="1:20" x14ac:dyDescent="0.25">
      <c r="A37" s="8" t="s">
        <v>2927</v>
      </c>
      <c r="B37" s="9">
        <v>1500</v>
      </c>
      <c r="C37" s="9">
        <v>372</v>
      </c>
      <c r="D37" s="9">
        <v>0.248</v>
      </c>
      <c r="F37" s="8" t="s">
        <v>2927</v>
      </c>
      <c r="G37" s="9">
        <v>1500</v>
      </c>
      <c r="H37" s="9">
        <v>4379992.4284999985</v>
      </c>
      <c r="J37" s="13"/>
      <c r="K37" s="13"/>
      <c r="L37" s="8" t="s">
        <v>22</v>
      </c>
      <c r="M37" s="14">
        <v>301</v>
      </c>
      <c r="N37" s="14">
        <v>70</v>
      </c>
      <c r="O37" s="12">
        <v>0.23255813953488372</v>
      </c>
      <c r="Q37" s="8" t="s">
        <v>22</v>
      </c>
      <c r="R37" s="12">
        <v>0.23255813953488372</v>
      </c>
      <c r="S37" s="12">
        <v>0.42524916943521596</v>
      </c>
    </row>
    <row r="38" spans="1:20" x14ac:dyDescent="0.25">
      <c r="J38" s="13"/>
      <c r="K38" s="13"/>
      <c r="L38" s="8" t="s">
        <v>19</v>
      </c>
      <c r="M38" s="14">
        <v>311</v>
      </c>
      <c r="N38" s="14">
        <v>81</v>
      </c>
      <c r="O38" s="12">
        <v>0.26045016077170419</v>
      </c>
      <c r="Q38" s="8" t="s">
        <v>19</v>
      </c>
      <c r="R38" s="12">
        <v>0.26045016077170419</v>
      </c>
      <c r="S38" s="12">
        <v>0.4437299035369775</v>
      </c>
    </row>
    <row r="39" spans="1:20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8" t="s">
        <v>21</v>
      </c>
      <c r="M39" s="14">
        <v>309</v>
      </c>
      <c r="N39" s="14">
        <v>70</v>
      </c>
      <c r="O39" s="12">
        <v>0.22653721682847897</v>
      </c>
      <c r="Q39" s="8" t="s">
        <v>21</v>
      </c>
      <c r="R39" s="12">
        <v>0.22653721682847897</v>
      </c>
      <c r="S39" s="12">
        <v>0.52750809061488668</v>
      </c>
    </row>
    <row r="40" spans="1:20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8" t="s">
        <v>20</v>
      </c>
      <c r="M40" s="14">
        <v>295</v>
      </c>
      <c r="N40" s="14">
        <v>77</v>
      </c>
      <c r="O40" s="12">
        <v>0.26101694915254237</v>
      </c>
      <c r="Q40" s="8" t="s">
        <v>20</v>
      </c>
      <c r="R40" s="12">
        <v>0.26101694915254237</v>
      </c>
      <c r="S40" s="12">
        <v>0.44067796610169491</v>
      </c>
    </row>
    <row r="41" spans="1:20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" t="s">
        <v>23</v>
      </c>
      <c r="M41" s="14">
        <v>284</v>
      </c>
      <c r="N41" s="14">
        <v>74</v>
      </c>
      <c r="O41" s="12">
        <v>0.26056338028169013</v>
      </c>
      <c r="Q41" s="8" t="s">
        <v>23</v>
      </c>
      <c r="R41" s="12">
        <v>0.26056338028169013</v>
      </c>
      <c r="S41" s="12">
        <v>0.42957746478873238</v>
      </c>
    </row>
    <row r="42" spans="1:20" x14ac:dyDescent="0.25">
      <c r="L42" s="8" t="s">
        <v>2927</v>
      </c>
      <c r="M42" s="14">
        <v>1500</v>
      </c>
      <c r="N42" s="14">
        <v>372</v>
      </c>
      <c r="O42" s="12">
        <v>0.248</v>
      </c>
      <c r="Q42" s="8" t="s">
        <v>2927</v>
      </c>
      <c r="R42" s="12">
        <v>0.248</v>
      </c>
      <c r="S42" s="12">
        <v>0.45400000000000001</v>
      </c>
    </row>
    <row r="45" spans="1:20" x14ac:dyDescent="0.25">
      <c r="F45" t="s">
        <v>2928</v>
      </c>
      <c r="G45" t="s">
        <v>2937</v>
      </c>
      <c r="H45" t="s">
        <v>2946</v>
      </c>
      <c r="I45" t="s">
        <v>2948</v>
      </c>
      <c r="J45" t="s">
        <v>2949</v>
      </c>
      <c r="K45" t="s">
        <v>2938</v>
      </c>
      <c r="L45" t="s">
        <v>2939</v>
      </c>
    </row>
    <row r="46" spans="1:20" x14ac:dyDescent="0.25">
      <c r="F46" s="6">
        <v>4379992.4284999985</v>
      </c>
      <c r="G46" s="9">
        <v>1500</v>
      </c>
      <c r="H46" s="14">
        <v>6.0426666666666664</v>
      </c>
      <c r="I46" s="9">
        <v>681</v>
      </c>
      <c r="J46" s="12">
        <v>0.45400000000000001</v>
      </c>
      <c r="K46" s="9">
        <v>372</v>
      </c>
      <c r="L46" s="12">
        <v>0.248</v>
      </c>
    </row>
    <row r="48" spans="1:20" x14ac:dyDescent="0.25">
      <c r="F48" s="6">
        <f>GETPIVOTDATA("[Measures].[Total Revenue]",$F$45)</f>
        <v>4379992.4284999985</v>
      </c>
      <c r="G48">
        <f>GETPIVOTDATA("[Measures].[Total Orders]",$F$45)</f>
        <v>1500</v>
      </c>
      <c r="H48" s="14">
        <f>GETPIVOTDATA("[Measures].[Avg. Delivery Days]",$F$45)</f>
        <v>6.0426666666666664</v>
      </c>
      <c r="I48">
        <f>GETPIVOTDATA("[Measures].[Delayed Orders]",$F$45)</f>
        <v>681</v>
      </c>
      <c r="J48" s="16">
        <f>GETPIVOTDATA("[Measures].[Delay Rate]",$F$45)</f>
        <v>0.45400000000000001</v>
      </c>
      <c r="K48">
        <f>GETPIVOTDATA("[Measures].[Returned Orders]",$F$45)</f>
        <v>372</v>
      </c>
      <c r="L48" s="16">
        <f>GETPIVOTDATA("[Measures].[Return Rate]",$F$45)</f>
        <v>0.248</v>
      </c>
    </row>
    <row r="49" spans="10:12" x14ac:dyDescent="0.25">
      <c r="J49" s="12">
        <f>1-J48</f>
        <v>0.54600000000000004</v>
      </c>
      <c r="L49" s="12">
        <f>1-L48</f>
        <v>0.752</v>
      </c>
    </row>
  </sheetData>
  <mergeCells count="1">
    <mergeCell ref="A1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3810-E793-4081-8510-A96BED94751A}">
  <dimension ref="A1"/>
  <sheetViews>
    <sheetView showGridLines="0" zoomScale="25" zoomScaleNormal="25" workbookViewId="0">
      <pane ySplit="1" topLeftCell="A4" activePane="bottomLeft" state="frozen"/>
      <selection pane="bottomLeft" activeCell="AG19" sqref="AG19"/>
    </sheetView>
  </sheetViews>
  <sheetFormatPr defaultRowHeight="15" x14ac:dyDescent="0.25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247B-1C67-49A9-B2B9-55D26428C41B}">
  <dimension ref="AH23"/>
  <sheetViews>
    <sheetView showGridLines="0" topLeftCell="H1" zoomScale="55" zoomScaleNormal="55" workbookViewId="0">
      <selection activeCell="AI16" sqref="AI16"/>
    </sheetView>
  </sheetViews>
  <sheetFormatPr defaultRowHeight="15" x14ac:dyDescent="0.25"/>
  <sheetData>
    <row r="23" spans="34:34" x14ac:dyDescent="0.25">
      <c r="AH23" s="17"/>
    </row>
  </sheetData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52EB-35B6-4A06-AF47-D52CCF229C6A}">
  <dimension ref="A1"/>
  <sheetViews>
    <sheetView showGridLines="0" topLeftCell="M36" zoomScale="85" zoomScaleNormal="85" workbookViewId="0">
      <selection activeCell="AM35" sqref="AM35"/>
    </sheetView>
  </sheetViews>
  <sheetFormatPr defaultRowHeight="15" x14ac:dyDescent="0.25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89B1-CB33-4337-8E00-308CED982817}">
  <dimension ref="A1"/>
  <sheetViews>
    <sheetView showGridLines="0" tabSelected="1" topLeftCell="B1" zoomScale="115" zoomScaleNormal="115" workbookViewId="0">
      <selection activeCell="N5" sqref="N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Questions</vt:lpstr>
      <vt:lpstr>Dashboard</vt:lpstr>
      <vt:lpstr>Dashboard 2</vt:lpstr>
      <vt:lpstr>Dashboard 3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RXNXC. G</dc:creator>
  <cp:lastModifiedBy>RXNXC. G</cp:lastModifiedBy>
  <dcterms:created xsi:type="dcterms:W3CDTF">2025-06-21T13:19:11Z</dcterms:created>
  <dcterms:modified xsi:type="dcterms:W3CDTF">2026-06-20T13:00:03Z</dcterms:modified>
</cp:coreProperties>
</file>